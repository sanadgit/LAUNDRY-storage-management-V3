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comments/comment3.xml" ContentType="application/vnd.openxmlformats-officedocument.spreadsheetml.comments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ommitments" sheetId="2" state="visible" r:id="rId2"/>
    <sheet xmlns:r="http://schemas.openxmlformats.org/officeDocument/2006/relationships" name="Cheque Register" sheetId="3" state="visible" r:id="rId3"/>
    <sheet xmlns:r="http://schemas.openxmlformats.org/officeDocument/2006/relationships" name="Accounts Payable" sheetId="4" state="visible" r:id="rId4"/>
    <sheet xmlns:r="http://schemas.openxmlformats.org/officeDocument/2006/relationships" name="Fixed Expenses" sheetId="5" state="visible" r:id="rId5"/>
    <sheet xmlns:r="http://schemas.openxmlformats.org/officeDocument/2006/relationships" name="Cash Flow Forecast" sheetId="6" state="visible" r:id="rId6"/>
    <sheet xmlns:r="http://schemas.openxmlformats.org/officeDocument/2006/relationships" name="Bank &amp; Cash Balances" sheetId="7" state="visible" r:id="rId7"/>
    <sheet xmlns:r="http://schemas.openxmlformats.org/officeDocument/2006/relationships" name="Setup &amp; Lists" sheetId="8" state="visible" r:id="rId8"/>
  </sheets>
  <definedNames>
    <definedName name="_xlnm._FilterDatabase" localSheetId="1" hidden="1">'Commitments'!$A$4:$U$504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&quot;AED&quot; #,##0.00;[Red](&quot;AED&quot; #,##0.00);-"/>
    <numFmt numFmtId="165" formatCode="dd-mmm-yy"/>
    <numFmt numFmtId="166" formatCode="yyyy-mm-dd"/>
    <numFmt numFmtId="167" formatCode="0.0x"/>
  </numFmts>
  <fonts count="13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17324D"/>
      <sz val="10"/>
    </font>
    <font>
      <b val="1"/>
      <color rgb="00FFFFFF"/>
    </font>
    <font>
      <color rgb="00666666"/>
    </font>
    <font>
      <b val="1"/>
      <color rgb="0017324D"/>
    </font>
    <font>
      <color rgb="001F4E78"/>
    </font>
    <font>
      <color rgb="00008000"/>
    </font>
    <font>
      <color rgb="00000000"/>
    </font>
    <font>
      <b val="1"/>
      <color rgb="00FFFFFF"/>
      <sz val="10"/>
    </font>
    <font>
      <b val="1"/>
      <color rgb="0017324D"/>
      <sz val="16"/>
    </font>
    <font>
      <b val="1"/>
      <color rgb="0017324D"/>
      <sz val="13"/>
    </font>
    <font>
      <color rgb="00555555"/>
    </font>
  </fonts>
  <fills count="14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DCEFF2"/>
      </patternFill>
    </fill>
    <fill>
      <patternFill patternType="solid">
        <fgColor rgb="00167D8D"/>
      </patternFill>
    </fill>
    <fill>
      <patternFill patternType="solid">
        <fgColor rgb="00E7E6E6"/>
      </patternFill>
    </fill>
    <fill>
      <patternFill patternType="solid">
        <fgColor rgb="00E4DFEC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E2F0D9"/>
      </patternFill>
    </fill>
    <fill>
      <patternFill patternType="solid">
        <fgColor rgb="00FFFFFF"/>
      </patternFill>
    </fill>
    <fill>
      <patternFill patternType="solid">
        <fgColor rgb="00FCE4D6"/>
      </patternFill>
    </fill>
    <fill>
      <patternFill patternType="solid">
        <fgColor rgb="00F4CCCC"/>
      </patternFill>
    </fill>
    <fill>
      <patternFill patternType="solid">
        <fgColor rgb="00F3F5F7"/>
      </patternFill>
    </fill>
  </fills>
  <borders count="3">
    <border>
      <left/>
      <right/>
      <top/>
      <bottom/>
      <diagonal/>
    </border>
    <border>
      <bottom style="medium">
        <color rgb="0017324D"/>
      </bottom>
    </border>
    <border>
      <bottom style="thin">
        <color rgb="00D9E1E8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0" fillId="5" borderId="0" pivotButton="0" quotePrefix="0" xfId="0"/>
    <xf numFmtId="165" fontId="0" fillId="3" borderId="0" pivotButton="0" quotePrefix="0" xfId="0"/>
    <xf numFmtId="0" fontId="9" fillId="2" borderId="0" applyAlignment="1" pivotButton="0" quotePrefix="0" xfId="0">
      <alignment horizontal="center" vertical="center" wrapText="1"/>
    </xf>
    <xf numFmtId="164" fontId="10" fillId="4" borderId="0" applyAlignment="1" pivotButton="0" quotePrefix="0" xfId="0">
      <alignment horizontal="center" vertical="center"/>
    </xf>
    <xf numFmtId="164" fontId="10" fillId="3" borderId="0" applyAlignment="1" pivotButton="0" quotePrefix="0" xfId="0">
      <alignment horizontal="center" vertical="center"/>
    </xf>
    <xf numFmtId="164" fontId="10" fillId="11" borderId="0" applyAlignment="1" pivotButton="0" quotePrefix="0" xfId="0">
      <alignment horizontal="center" vertical="center"/>
    </xf>
    <xf numFmtId="164" fontId="10" fillId="7" borderId="0" applyAlignment="1" pivotButton="0" quotePrefix="0" xfId="0">
      <alignment horizontal="center" vertical="center"/>
    </xf>
    <xf numFmtId="167" fontId="10" fillId="3" borderId="0" applyAlignment="1" pivotButton="0" quotePrefix="0" xfId="0">
      <alignment horizontal="center" vertical="center"/>
    </xf>
    <xf numFmtId="164" fontId="10" fillId="12" borderId="0" applyAlignment="1" pivotButton="0" quotePrefix="0" xfId="0">
      <alignment horizontal="center" vertical="center"/>
    </xf>
    <xf numFmtId="0" fontId="5" fillId="3" borderId="0" pivotButton="0" quotePrefix="0" xfId="0"/>
    <xf numFmtId="17" fontId="0" fillId="0" borderId="0" pivotButton="0" quotePrefix="0" xfId="0"/>
    <xf numFmtId="164" fontId="0" fillId="0" borderId="0" pivotButton="0" quotePrefix="0" xfId="0"/>
    <xf numFmtId="0" fontId="3" fillId="2" borderId="0" pivotButton="0" quotePrefix="0" xfId="0"/>
    <xf numFmtId="0" fontId="12" fillId="1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6" fillId="8" borderId="2" applyAlignment="1" pivotButton="0" quotePrefix="0" xfId="0">
      <alignment vertical="center"/>
    </xf>
    <xf numFmtId="0" fontId="7" fillId="9" borderId="2" applyAlignment="1" pivotButton="0" quotePrefix="0" xfId="0">
      <alignment vertical="center"/>
    </xf>
    <xf numFmtId="165" fontId="7" fillId="9" borderId="2" applyAlignment="1" pivotButton="0" quotePrefix="0" xfId="0">
      <alignment vertical="center"/>
    </xf>
    <xf numFmtId="164" fontId="7" fillId="9" borderId="2" applyAlignment="1" pivotButton="0" quotePrefix="0" xfId="0">
      <alignment vertical="center"/>
    </xf>
    <xf numFmtId="164" fontId="8" fillId="10" borderId="2" pivotButton="0" quotePrefix="0" xfId="0"/>
    <xf numFmtId="165" fontId="6" fillId="8" borderId="2" applyAlignment="1" pivotButton="0" quotePrefix="0" xfId="0">
      <alignment vertical="center"/>
    </xf>
    <xf numFmtId="0" fontId="8" fillId="10" borderId="2" pivotButton="0" quotePrefix="0" xfId="0"/>
    <xf numFmtId="164" fontId="6" fillId="8" borderId="2" applyAlignment="1" pivotButton="0" quotePrefix="0" xfId="0">
      <alignment vertical="center"/>
    </xf>
    <xf numFmtId="165" fontId="8" fillId="10" borderId="2" pivotButton="0" quotePrefix="0" xfId="0"/>
    <xf numFmtId="17" fontId="8" fillId="10" borderId="2" pivotButton="0" quotePrefix="0" xfId="0"/>
    <xf numFmtId="0" fontId="3" fillId="4" borderId="0" pivotButton="0" quotePrefix="0" xfId="0"/>
    <xf numFmtId="0" fontId="5" fillId="6" borderId="0" pivotButton="0" quotePrefix="0" xfId="0"/>
    <xf numFmtId="0" fontId="4" fillId="5" borderId="0" pivotButton="0" quotePrefix="0" xfId="0"/>
    <xf numFmtId="0" fontId="6" fillId="7" borderId="0" pivotButton="0" quotePrefix="0" xfId="0"/>
    <xf numFmtId="164" fontId="6" fillId="7" borderId="0" pivotButton="0" quotePrefix="0" xfId="0"/>
  </cellXfs>
  <cellStyles count="1">
    <cellStyle name="Normal" xfId="0" builtinId="0" hidden="0"/>
  </cellStyles>
  <dxfs count="5">
    <dxf>
      <fill>
        <patternFill patternType="solid">
          <fgColor rgb="00F4CCCC"/>
        </patternFill>
      </fill>
    </dxf>
    <dxf>
      <font>
        <b val="1"/>
        <color rgb="009C0006"/>
      </font>
      <fill>
        <patternFill patternType="solid">
          <fgColor rgb="00F4CCCC"/>
        </patternFill>
      </fill>
    </dxf>
    <dxf>
      <font>
        <b val="1"/>
        <color rgb="009C5700"/>
      </font>
      <fill>
        <patternFill patternType="solid">
          <fgColor rgb="00FCE4D6"/>
        </patternFill>
      </fill>
    </dxf>
    <dxf>
      <font>
        <color rgb="009C0006"/>
      </font>
      <fill>
        <patternFill patternType="solid">
          <fgColor rgb="00F4CCCC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Obligations and Closing Liquidity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'Dashboard'!B14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'Dashboard'!$A$15:$A$26</f>
            </numRef>
          </cat>
          <val>
            <numRef>
              <f>'Dashboard'!$B$15:$B$26</f>
            </numRef>
          </val>
        </ser>
        <ser>
          <idx val="1"/>
          <order val="1"/>
          <tx>
            <strRef>
              <f>'Dashboard'!C14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'Dashboard'!$A$15:$A$26</f>
            </numRef>
          </cat>
          <val>
            <numRef>
              <f>'Dashboard'!$C$15:$C$26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AED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Codex</author>
  </authors>
  <commentList>
    <comment ref="A2" authorId="0" shapeId="0">
      <text>
        <t>Primary manual/import register. Future POS/n8n source: project workflows.</t>
      </text>
    </comment>
  </commentList>
</comments>
</file>

<file path=xl/comments/comment2.xml><?xml version="1.0" encoding="utf-8"?>
<comments xmlns="http://schemas.openxmlformats.org/spreadsheetml/2006/main">
  <authors>
    <author>Codex</author>
  </authors>
  <commentList>
    <comment ref="A2" authorId="0" shapeId="0">
      <text>
        <t>Expected source: POS purchases and supplier balances.</t>
      </text>
    </comment>
  </commentList>
</comments>
</file>

<file path=xl/comments/comment3.xml><?xml version="1.0" encoding="utf-8"?>
<comments xmlns="http://schemas.openxmlformats.org/spreadsheetml/2006/main">
  <authors>
    <author>Codex</author>
  </authors>
  <commentList>
    <comment ref="A2" authorId="0" shapeId="0">
      <text>
        <t>Expected source: reconciled POS ledgers and bank statements.</t>
      </text>
    </comment>
    <comment ref="E5" authorId="0" shapeId="0">
      <text>
        <t>Replace with the latest reconciled bank or POS balance.</t>
      </text>
    </comment>
    <comment ref="E6" authorId="0" shapeId="0">
      <text>
        <t>Replace with the latest reconciled bank or POS balance.</t>
      </text>
    </comment>
    <comment ref="E7" authorId="0" shapeId="0">
      <text>
        <t>Replace with the latest reconciled bank or POS balance.</t>
      </text>
    </comment>
    <comment ref="E8" authorId="0" shapeId="0">
      <text>
        <t>Replace with the latest reconciled bank or POS balance.</t>
      </text>
    </comment>
    <comment ref="E9" authorId="0" shapeId="0">
      <text>
        <t>Replace with the latest reconciled bank or POS balance.</t>
      </text>
    </comment>
    <comment ref="E10" authorId="0" shapeId="0">
      <text>
        <t>Replace with the latest reconciled bank or POS balance.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13</row>
      <rowOff>0</rowOff>
    </from>
    <ext cx="576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Commitments" displayName="tblCommitments" ref="A4:U504" headerRowCount="1">
  <autoFilter ref="A4:U504"/>
  <tableColumns count="21">
    <tableColumn id="1" name="Commitment ID"/>
    <tableColumn id="2" name="Source Type"/>
    <tableColumn id="3" name="Source ID"/>
    <tableColumn id="4" name="Branch"/>
    <tableColumn id="5" name="Due Date"/>
    <tableColumn id="6" name="Category"/>
    <tableColumn id="7" name="Description"/>
    <tableColumn id="8" name="Supplier / Payee"/>
    <tableColumn id="9" name="Amount (AED)"/>
    <tableColumn id="10" name="Payment Method"/>
    <tableColumn id="11" name="Paid Amount (AED)"/>
    <tableColumn id="12" name="Balance (AED)"/>
    <tableColumn id="13" name="Status"/>
    <tableColumn id="14" name="Priority"/>
    <tableColumn id="15" name="Recurring"/>
    <tableColumn id="16" name="Payment Date"/>
    <tableColumn id="17" name="Bank Account"/>
    <tableColumn id="18" name="Approved By"/>
    <tableColumn id="19" name="Notes"/>
    <tableColumn id="20" name="Days to Due"/>
    <tableColumn id="21" name="Aler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Cheques" displayName="tblCheques" ref="A4:O304" headerRowCount="1">
  <autoFilter ref="A4:O304"/>
  <tableColumns count="15">
    <tableColumn id="1" name="Cheque No"/>
    <tableColumn id="2" name="Commitment ID"/>
    <tableColumn id="3" name="Branch"/>
    <tableColumn id="4" name="Bank Account"/>
    <tableColumn id="5" name="Beneficiary"/>
    <tableColumn id="6" name="Issue Date"/>
    <tableColumn id="7" name="Cheque Date"/>
    <tableColumn id="8" name="Amount (AED)"/>
    <tableColumn id="9" name="Status"/>
    <tableColumn id="10" name="Cleared Date"/>
    <tableColumn id="11" name="Replacement Cheque No"/>
    <tableColumn id="12" name="Return Reason"/>
    <tableColumn id="13" name="Days to Due"/>
    <tableColumn id="14" name="Alert"/>
    <tableColumn id="15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AP" displayName="tblAP" ref="A4:R504" headerRowCount="1">
  <autoFilter ref="A4:R504"/>
  <tableColumns count="18">
    <tableColumn id="1" name="AP ID"/>
    <tableColumn id="2" name="Commitment ID"/>
    <tableColumn id="3" name="Supplier"/>
    <tableColumn id="4" name="Invoice No"/>
    <tableColumn id="5" name="Invoice Date"/>
    <tableColumn id="6" name="Due Date"/>
    <tableColumn id="7" name="Branch"/>
    <tableColumn id="8" name="Category"/>
    <tableColumn id="9" name="Amount (AED)"/>
    <tableColumn id="10" name="Paid (AED)"/>
    <tableColumn id="11" name="Balance (AED)"/>
    <tableColumn id="12" name="Status"/>
    <tableColumn id="13" name="Payment Method"/>
    <tableColumn id="14" name="Purchase ID"/>
    <tableColumn id="15" name="Duplicate Key"/>
    <tableColumn id="16" name="Overdue Days"/>
    <tableColumn id="17" name="Alert"/>
    <tableColumn id="18" name="Not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FixedExpenses" displayName="tblFixedExpenses" ref="A4:N204" headerRowCount="1">
  <autoFilter ref="A4:N204"/>
  <tableColumns count="14">
    <tableColumn id="1" name="Fixed ID"/>
    <tableColumn id="2" name="Branch"/>
    <tableColumn id="3" name="Expense Type"/>
    <tableColumn id="4" name="Supplier / Payee"/>
    <tableColumn id="5" name="Monthly Amount (AED)"/>
    <tableColumn id="6" name="Due Day"/>
    <tableColumn id="7" name="Start Date"/>
    <tableColumn id="8" name="End Date"/>
    <tableColumn id="9" name="Payment Method"/>
    <tableColumn id="10" name="Active"/>
    <tableColumn id="11" name="Source Reference"/>
    <tableColumn id="12" name="Last Generated Month"/>
    <tableColumn id="13" name="Next Due Date"/>
    <tableColumn id="14" name="Not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Forecast" displayName="tblForecast" ref="A4:J16" headerRowCount="1">
  <autoFilter ref="A4:J16"/>
  <tableColumns count="10">
    <tableColumn id="1" name="Month"/>
    <tableColumn id="2" name="Opening Balance (AED)"/>
    <tableColumn id="3" name="Expected Income (AED)"/>
    <tableColumn id="4" name="Open Commitments (AED)"/>
    <tableColumn id="5" name="Fixed Templates (AED)"/>
    <tableColumn id="6" name="Expected Expenses (AED)"/>
    <tableColumn id="7" name="Net Cash Flow (AED)"/>
    <tableColumn id="8" name="Closing Balance (AED)"/>
    <tableColumn id="9" name="Liquidity Alert"/>
    <tableColumn id="10" name="Note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blBalances" displayName="tblBalances" ref="A4:L104" headerRowCount="1">
  <autoFilter ref="A4:L104"/>
  <tableColumns count="12">
    <tableColumn id="1" name="Account ID"/>
    <tableColumn id="2" name="Branch"/>
    <tableColumn id="3" name="Account Name"/>
    <tableColumn id="4" name="Account Type"/>
    <tableColumn id="5" name="As of Date"/>
    <tableColumn id="6" name="Book Balance (AED)"/>
    <tableColumn id="7" name="Pending Cheques (AED)"/>
    <tableColumn id="8" name="Protected Minimum (AED)"/>
    <tableColumn id="9" name="Available Balance (AED)"/>
    <tableColumn id="10" name="Source"/>
    <tableColumn id="11" name="Last Synced At"/>
    <tableColumn id="12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20" customWidth="1" min="3" max="3"/>
    <col width="4" customWidth="1" min="4" max="4"/>
    <col width="20" customWidth="1" min="5" max="5"/>
    <col width="4" customWidth="1" min="6" max="6"/>
    <col width="20" customWidth="1" min="7" max="7"/>
    <col width="4" customWidth="1" min="8" max="8"/>
    <col width="20" customWidth="1" min="9" max="9"/>
    <col width="4" customWidth="1" min="10" max="10"/>
    <col width="20" customWidth="1" min="11" max="11"/>
    <col width="4" customWidth="1" min="12" max="12"/>
  </cols>
  <sheetData>
    <row r="1" ht="30" customHeight="1">
      <c r="A1" s="1" t="inlineStr">
        <is>
          <t>Multi-Branch Financial Dashboard</t>
        </is>
      </c>
    </row>
    <row r="2" ht="24" customHeight="1">
      <c r="A2" s="2" t="inlineStr">
        <is>
          <t>لوحة موحدة لفروع MBZ وMussafah وAl Falah — القيم تتحدث من الصفحات المرتبطة</t>
        </is>
      </c>
    </row>
    <row r="4">
      <c r="A4" s="3" t="inlineStr">
        <is>
          <t>As of Date</t>
        </is>
      </c>
      <c r="B4" s="4">
        <f>TODAY()</f>
        <v/>
      </c>
    </row>
    <row r="6" ht="28" customHeight="1">
      <c r="A6" s="5" t="inlineStr">
        <is>
          <t>Book Bank &amp; Cash</t>
        </is>
      </c>
      <c r="C6" s="5" t="inlineStr">
        <is>
          <t>Available Liquidity</t>
        </is>
      </c>
      <c r="E6" s="5" t="inlineStr">
        <is>
          <t>Commitments — 30 Days</t>
        </is>
      </c>
      <c r="G6" s="5" t="inlineStr">
        <is>
          <t>Commitments — 60 Days</t>
        </is>
      </c>
      <c r="I6" s="5" t="inlineStr">
        <is>
          <t>Commitments — 90 Days</t>
        </is>
      </c>
      <c r="K6" s="5" t="inlineStr">
        <is>
          <t>Liquidity Coverage</t>
        </is>
      </c>
    </row>
    <row r="7" ht="42" customHeight="1">
      <c r="A7" s="6">
        <f>SUM('Bank &amp; Cash Balances'!$F$5:$F$104)</f>
        <v/>
      </c>
      <c r="C7" s="7">
        <f>SUM('Bank &amp; Cash Balances'!$I$5:$I$104)</f>
        <v/>
      </c>
      <c r="E7" s="8">
        <f>SUMIFS(Commitments!$L$5:$L$504,Commitments!$E$5:$E$504,"&gt;="&amp;TODAY(),Commitments!$E$5:$E$504,"&lt;="&amp;TODAY()+30,Commitments!$M$5:$M$504,"&lt;&gt;Paid",Commitments!$M$5:$M$504,"&lt;&gt;Cancelled")</f>
        <v/>
      </c>
      <c r="G7" s="9">
        <f>SUMIFS(Commitments!$L$5:$L$504,Commitments!$E$5:$E$504,"&gt;"&amp;TODAY()+30,Commitments!$E$5:$E$504,"&lt;="&amp;TODAY()+60,Commitments!$M$5:$M$504,"&lt;&gt;Paid",Commitments!$M$5:$M$504,"&lt;&gt;Cancelled")</f>
        <v/>
      </c>
      <c r="I7" s="9">
        <f>SUMIFS(Commitments!$L$5:$L$504,Commitments!$E$5:$E$504,"&gt;"&amp;TODAY()+60,Commitments!$E$5:$E$504,"&lt;="&amp;TODAY()+90,Commitments!$M$5:$M$504,"&lt;&gt;Paid",Commitments!$M$5:$M$504,"&lt;&gt;Cancelled")</f>
        <v/>
      </c>
      <c r="K7" s="10">
        <f>IFERROR(C7/E7,0)</f>
        <v/>
      </c>
    </row>
    <row r="10" ht="28" customHeight="1">
      <c r="A10" s="5" t="inlineStr">
        <is>
          <t>Cheques Due This Month</t>
        </is>
      </c>
      <c r="C10" s="5" t="inlineStr">
        <is>
          <t>Salaries Due</t>
        </is>
      </c>
      <c r="E10" s="5" t="inlineStr">
        <is>
          <t>Unpaid Purchases</t>
        </is>
      </c>
      <c r="G10" s="5" t="inlineStr">
        <is>
          <t>Overdue Suppliers</t>
        </is>
      </c>
      <c r="I10" s="5" t="inlineStr">
        <is>
          <t>Open Commitments</t>
        </is>
      </c>
      <c r="K10" s="5" t="inlineStr">
        <is>
          <t>Next Month Closing</t>
        </is>
      </c>
    </row>
    <row r="11" ht="42" customHeight="1">
      <c r="A11" s="8">
        <f>SUMIFS('Cheque Register'!$H$5:$H$304,'Cheque Register'!$G$5:$G$304,"&gt;="&amp;EOMONTH(TODAY(),-1)+1,'Cheque Register'!$G$5:$G$304,"&lt;="&amp;EOMONTH(TODAY(),0),'Cheque Register'!$I$5:$I$304,"Pending")</f>
        <v/>
      </c>
      <c r="C11" s="8">
        <f>SUMIFS(Commitments!$L$5:$L$504,Commitments!$F$5:$F$504,"Salaries",Commitments!$M$5:$M$504,"&lt;&gt;Paid",Commitments!$M$5:$M$504,"&lt;&gt;Cancelled")</f>
        <v/>
      </c>
      <c r="E11" s="8">
        <f>SUM('Accounts Payable'!$K$5:$K$504)</f>
        <v/>
      </c>
      <c r="G11" s="11">
        <f>SUMIFS('Accounts Payable'!$K$5:$K$504,'Accounts Payable'!$F$5:$F$504,"&lt;"&amp;TODAY(),'Accounts Payable'!$L$5:$L$504,"&lt;&gt;Paid",'Accounts Payable'!$L$5:$L$504,"&lt;&gt;Cancelled")</f>
        <v/>
      </c>
      <c r="I11" s="9">
        <f>SUMIFS(Commitments!$L$5:$L$504,Commitments!$M$5:$M$504,"&lt;&gt;Paid",Commitments!$M$5:$M$504,"&lt;&gt;Cancelled")</f>
        <v/>
      </c>
      <c r="K11" s="7">
        <f>'Cash Flow Forecast'!H6</f>
        <v/>
      </c>
    </row>
    <row r="14">
      <c r="A14" s="12" t="inlineStr">
        <is>
          <t>12-Month Obligations</t>
        </is>
      </c>
      <c r="B14" s="12" t="inlineStr">
        <is>
          <t>Expected Expenses</t>
        </is>
      </c>
      <c r="C14" s="12" t="inlineStr">
        <is>
          <t>Closing Balance</t>
        </is>
      </c>
    </row>
    <row r="15">
      <c r="A15" s="13">
        <f>'Cash Flow Forecast'!A5</f>
        <v/>
      </c>
      <c r="B15" s="14">
        <f>'Cash Flow Forecast'!F5</f>
        <v/>
      </c>
      <c r="C15" s="14">
        <f>'Cash Flow Forecast'!H5</f>
        <v/>
      </c>
    </row>
    <row r="16">
      <c r="A16" s="13">
        <f>'Cash Flow Forecast'!A6</f>
        <v/>
      </c>
      <c r="B16" s="14">
        <f>'Cash Flow Forecast'!F6</f>
        <v/>
      </c>
      <c r="C16" s="14">
        <f>'Cash Flow Forecast'!H6</f>
        <v/>
      </c>
    </row>
    <row r="17">
      <c r="A17" s="13">
        <f>'Cash Flow Forecast'!A7</f>
        <v/>
      </c>
      <c r="B17" s="14">
        <f>'Cash Flow Forecast'!F7</f>
        <v/>
      </c>
      <c r="C17" s="14">
        <f>'Cash Flow Forecast'!H7</f>
        <v/>
      </c>
    </row>
    <row r="18">
      <c r="A18" s="13">
        <f>'Cash Flow Forecast'!A8</f>
        <v/>
      </c>
      <c r="B18" s="14">
        <f>'Cash Flow Forecast'!F8</f>
        <v/>
      </c>
      <c r="C18" s="14">
        <f>'Cash Flow Forecast'!H8</f>
        <v/>
      </c>
    </row>
    <row r="19">
      <c r="A19" s="13">
        <f>'Cash Flow Forecast'!A9</f>
        <v/>
      </c>
      <c r="B19" s="14">
        <f>'Cash Flow Forecast'!F9</f>
        <v/>
      </c>
      <c r="C19" s="14">
        <f>'Cash Flow Forecast'!H9</f>
        <v/>
      </c>
    </row>
    <row r="20">
      <c r="A20" s="13">
        <f>'Cash Flow Forecast'!A10</f>
        <v/>
      </c>
      <c r="B20" s="14">
        <f>'Cash Flow Forecast'!F10</f>
        <v/>
      </c>
      <c r="C20" s="14">
        <f>'Cash Flow Forecast'!H10</f>
        <v/>
      </c>
    </row>
    <row r="21">
      <c r="A21" s="13">
        <f>'Cash Flow Forecast'!A11</f>
        <v/>
      </c>
      <c r="B21" s="14">
        <f>'Cash Flow Forecast'!F11</f>
        <v/>
      </c>
      <c r="C21" s="14">
        <f>'Cash Flow Forecast'!H11</f>
        <v/>
      </c>
    </row>
    <row r="22">
      <c r="A22" s="13">
        <f>'Cash Flow Forecast'!A12</f>
        <v/>
      </c>
      <c r="B22" s="14">
        <f>'Cash Flow Forecast'!F12</f>
        <v/>
      </c>
      <c r="C22" s="14">
        <f>'Cash Flow Forecast'!H12</f>
        <v/>
      </c>
    </row>
    <row r="23">
      <c r="A23" s="13">
        <f>'Cash Flow Forecast'!A13</f>
        <v/>
      </c>
      <c r="B23" s="14">
        <f>'Cash Flow Forecast'!F13</f>
        <v/>
      </c>
      <c r="C23" s="14">
        <f>'Cash Flow Forecast'!H13</f>
        <v/>
      </c>
    </row>
    <row r="24">
      <c r="A24" s="13">
        <f>'Cash Flow Forecast'!A14</f>
        <v/>
      </c>
      <c r="B24" s="14">
        <f>'Cash Flow Forecast'!F14</f>
        <v/>
      </c>
      <c r="C24" s="14">
        <f>'Cash Flow Forecast'!H14</f>
        <v/>
      </c>
    </row>
    <row r="25">
      <c r="A25" s="13">
        <f>'Cash Flow Forecast'!A15</f>
        <v/>
      </c>
      <c r="B25" s="14">
        <f>'Cash Flow Forecast'!F15</f>
        <v/>
      </c>
      <c r="C25" s="14">
        <f>'Cash Flow Forecast'!H15</f>
        <v/>
      </c>
    </row>
    <row r="26">
      <c r="A26" s="13">
        <f>'Cash Flow Forecast'!A16</f>
        <v/>
      </c>
      <c r="B26" s="14">
        <f>'Cash Flow Forecast'!F16</f>
        <v/>
      </c>
      <c r="C26" s="14">
        <f>'Cash Flow Forecast'!H16</f>
        <v/>
      </c>
    </row>
    <row r="29">
      <c r="A29" s="15" t="inlineStr">
        <is>
          <t>Alert Logic</t>
        </is>
      </c>
    </row>
    <row r="30">
      <c r="A30" s="16" t="inlineStr">
        <is>
          <t>Red: overdue supplier invoice, cheque due within 7 days, or negative forecast.</t>
        </is>
      </c>
    </row>
    <row r="31">
      <c r="A31" s="16" t="inlineStr">
        <is>
          <t>Orange: payment due soon or liquidity below protected minimum.</t>
        </is>
      </c>
    </row>
    <row r="32">
      <c r="A32" s="16" t="inlineStr">
        <is>
          <t>Source Type + Source ID must be unique before importing a commitment.</t>
        </is>
      </c>
    </row>
    <row r="33">
      <c r="A33" s="16" t="inlineStr">
        <is>
          <t>Fixed templates feed the forecast; generated Fixed commitments are excluded from forecast commitments to prevent double counting.</t>
        </is>
      </c>
    </row>
  </sheetData>
  <mergeCells count="6">
    <mergeCell ref="A30:L30"/>
    <mergeCell ref="A2:L2"/>
    <mergeCell ref="A33:L33"/>
    <mergeCell ref="A1:L1"/>
    <mergeCell ref="A32:L32"/>
    <mergeCell ref="A31:L31"/>
  </mergeCells>
  <conditionalFormatting sqref="A7:K11">
    <cfRule type="cellIs" priority="1" operator="lessThan" dxfId="0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5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8" customWidth="1" min="3" max="3"/>
    <col width="14" customWidth="1" min="4" max="4"/>
    <col width="13" customWidth="1" min="5" max="5"/>
    <col width="20" customWidth="1" min="6" max="6"/>
    <col width="30" customWidth="1" min="7" max="7"/>
    <col width="24" customWidth="1" min="8" max="8"/>
    <col width="16" customWidth="1" min="9" max="9"/>
    <col width="18" customWidth="1" min="10" max="10"/>
    <col width="18" customWidth="1" min="11" max="11"/>
    <col width="17" customWidth="1" min="12" max="12"/>
    <col width="18" customWidth="1" min="13" max="13"/>
    <col width="12" customWidth="1" min="14" max="14"/>
    <col width="12" customWidth="1" min="15" max="15"/>
    <col width="14" customWidth="1" min="16" max="16"/>
    <col width="22" customWidth="1" min="17" max="17"/>
    <col width="18" customWidth="1" min="18" max="18"/>
    <col width="30" customWidth="1" min="19" max="19"/>
    <col width="13" customWidth="1" min="20" max="20"/>
    <col width="14" customWidth="1" min="21" max="21"/>
  </cols>
  <sheetData>
    <row r="1" ht="30" customHeight="1">
      <c r="A1" s="1" t="inlineStr">
        <is>
          <t>Future Commitments — Central Register</t>
        </is>
      </c>
    </row>
    <row r="2" ht="24" customHeight="1">
      <c r="A2" s="2" t="inlineStr">
        <is>
          <t>السجل المركزي الوحيد للالتزامات؛ استخدم Source Type + Source ID لمنع العدّ المزدوج</t>
        </is>
      </c>
    </row>
    <row r="4" ht="32" customHeight="1">
      <c r="A4" s="17" t="inlineStr">
        <is>
          <t>Commitment ID</t>
        </is>
      </c>
      <c r="B4" s="17" t="inlineStr">
        <is>
          <t>Source Type</t>
        </is>
      </c>
      <c r="C4" s="17" t="inlineStr">
        <is>
          <t>Source ID</t>
        </is>
      </c>
      <c r="D4" s="17" t="inlineStr">
        <is>
          <t>Branch</t>
        </is>
      </c>
      <c r="E4" s="17" t="inlineStr">
        <is>
          <t>Due Date</t>
        </is>
      </c>
      <c r="F4" s="17" t="inlineStr">
        <is>
          <t>Category</t>
        </is>
      </c>
      <c r="G4" s="17" t="inlineStr">
        <is>
          <t>Description</t>
        </is>
      </c>
      <c r="H4" s="17" t="inlineStr">
        <is>
          <t>Supplier / Payee</t>
        </is>
      </c>
      <c r="I4" s="17" t="inlineStr">
        <is>
          <t>Amount (AED)</t>
        </is>
      </c>
      <c r="J4" s="17" t="inlineStr">
        <is>
          <t>Payment Method</t>
        </is>
      </c>
      <c r="K4" s="17" t="inlineStr">
        <is>
          <t>Paid Amount (AED)</t>
        </is>
      </c>
      <c r="L4" s="17" t="inlineStr">
        <is>
          <t>Balance (AED)</t>
        </is>
      </c>
      <c r="M4" s="17" t="inlineStr">
        <is>
          <t>Status</t>
        </is>
      </c>
      <c r="N4" s="17" t="inlineStr">
        <is>
          <t>Priority</t>
        </is>
      </c>
      <c r="O4" s="17" t="inlineStr">
        <is>
          <t>Recurring</t>
        </is>
      </c>
      <c r="P4" s="17" t="inlineStr">
        <is>
          <t>Payment Date</t>
        </is>
      </c>
      <c r="Q4" s="17" t="inlineStr">
        <is>
          <t>Bank Account</t>
        </is>
      </c>
      <c r="R4" s="17" t="inlineStr">
        <is>
          <t>Approved By</t>
        </is>
      </c>
      <c r="S4" s="17" t="inlineStr">
        <is>
          <t>Notes</t>
        </is>
      </c>
      <c r="T4" s="17" t="inlineStr">
        <is>
          <t>Days to Due</t>
        </is>
      </c>
      <c r="U4" s="17" t="inlineStr">
        <is>
          <t>Alert</t>
        </is>
      </c>
    </row>
    <row r="5">
      <c r="A5" s="18" t="n"/>
      <c r="B5" s="19" t="n"/>
      <c r="C5" s="19" t="n"/>
      <c r="D5" s="19" t="n"/>
      <c r="E5" s="20" t="n"/>
      <c r="F5" s="19" t="n"/>
      <c r="G5" s="19" t="n"/>
      <c r="H5" s="19" t="n"/>
      <c r="I5" s="21" t="n"/>
      <c r="J5" s="19" t="n"/>
      <c r="K5" s="21" t="n"/>
      <c r="L5" s="22">
        <f>IF(I5="","",MAX(0,I5-K5))</f>
        <v/>
      </c>
      <c r="M5" s="19" t="n"/>
      <c r="N5" s="18" t="n"/>
      <c r="O5" s="18" t="n"/>
      <c r="P5" s="23" t="n"/>
      <c r="Q5" s="18" t="n"/>
      <c r="R5" s="18" t="n"/>
      <c r="S5" s="18" t="n"/>
      <c r="T5" s="24">
        <f>IF(E5="","",E5-TODAY())</f>
        <v/>
      </c>
      <c r="U5" s="24">
        <f>IF(OR(M5="Paid",M5="Cancelled",E5=""),"",IF(E5&lt;TODAY(),"OVERDUE",IF(E5&lt;=TODAY()+'Setup &amp; Lists'!$M$7,"DUE SOON","")))</f>
        <v/>
      </c>
    </row>
    <row r="6">
      <c r="A6" s="18" t="n"/>
      <c r="B6" s="19" t="n"/>
      <c r="C6" s="19" t="n"/>
      <c r="D6" s="19" t="n"/>
      <c r="E6" s="20" t="n"/>
      <c r="F6" s="19" t="n"/>
      <c r="G6" s="19" t="n"/>
      <c r="H6" s="19" t="n"/>
      <c r="I6" s="21" t="n"/>
      <c r="J6" s="19" t="n"/>
      <c r="K6" s="21" t="n"/>
      <c r="L6" s="22">
        <f>IF(I6="","",MAX(0,I6-K6))</f>
        <v/>
      </c>
      <c r="M6" s="19" t="n"/>
      <c r="N6" s="18" t="n"/>
      <c r="O6" s="18" t="n"/>
      <c r="P6" s="23" t="n"/>
      <c r="Q6" s="18" t="n"/>
      <c r="R6" s="18" t="n"/>
      <c r="S6" s="18" t="n"/>
      <c r="T6" s="24">
        <f>IF(E6="","",E6-TODAY())</f>
        <v/>
      </c>
      <c r="U6" s="24">
        <f>IF(OR(M6="Paid",M6="Cancelled",E6=""),"",IF(E6&lt;TODAY(),"OVERDUE",IF(E6&lt;=TODAY()+'Setup &amp; Lists'!$M$7,"DUE SOON","")))</f>
        <v/>
      </c>
    </row>
    <row r="7">
      <c r="A7" s="18" t="n"/>
      <c r="B7" s="19" t="n"/>
      <c r="C7" s="19" t="n"/>
      <c r="D7" s="19" t="n"/>
      <c r="E7" s="20" t="n"/>
      <c r="F7" s="19" t="n"/>
      <c r="G7" s="19" t="n"/>
      <c r="H7" s="19" t="n"/>
      <c r="I7" s="21" t="n"/>
      <c r="J7" s="19" t="n"/>
      <c r="K7" s="21" t="n"/>
      <c r="L7" s="22">
        <f>IF(I7="","",MAX(0,I7-K7))</f>
        <v/>
      </c>
      <c r="M7" s="19" t="n"/>
      <c r="N7" s="18" t="n"/>
      <c r="O7" s="18" t="n"/>
      <c r="P7" s="23" t="n"/>
      <c r="Q7" s="18" t="n"/>
      <c r="R7" s="18" t="n"/>
      <c r="S7" s="18" t="n"/>
      <c r="T7" s="24">
        <f>IF(E7="","",E7-TODAY())</f>
        <v/>
      </c>
      <c r="U7" s="24">
        <f>IF(OR(M7="Paid",M7="Cancelled",E7=""),"",IF(E7&lt;TODAY(),"OVERDUE",IF(E7&lt;=TODAY()+'Setup &amp; Lists'!$M$7,"DUE SOON","")))</f>
        <v/>
      </c>
    </row>
    <row r="8">
      <c r="A8" s="18" t="n"/>
      <c r="B8" s="19" t="n"/>
      <c r="C8" s="19" t="n"/>
      <c r="D8" s="19" t="n"/>
      <c r="E8" s="20" t="n"/>
      <c r="F8" s="19" t="n"/>
      <c r="G8" s="19" t="n"/>
      <c r="H8" s="19" t="n"/>
      <c r="I8" s="21" t="n"/>
      <c r="J8" s="19" t="n"/>
      <c r="K8" s="21" t="n"/>
      <c r="L8" s="22">
        <f>IF(I8="","",MAX(0,I8-K8))</f>
        <v/>
      </c>
      <c r="M8" s="19" t="n"/>
      <c r="N8" s="18" t="n"/>
      <c r="O8" s="18" t="n"/>
      <c r="P8" s="23" t="n"/>
      <c r="Q8" s="18" t="n"/>
      <c r="R8" s="18" t="n"/>
      <c r="S8" s="18" t="n"/>
      <c r="T8" s="24">
        <f>IF(E8="","",E8-TODAY())</f>
        <v/>
      </c>
      <c r="U8" s="24">
        <f>IF(OR(M8="Paid",M8="Cancelled",E8=""),"",IF(E8&lt;TODAY(),"OVERDUE",IF(E8&lt;=TODAY()+'Setup &amp; Lists'!$M$7,"DUE SOON","")))</f>
        <v/>
      </c>
    </row>
    <row r="9">
      <c r="A9" s="18" t="n"/>
      <c r="B9" s="19" t="n"/>
      <c r="C9" s="19" t="n"/>
      <c r="D9" s="19" t="n"/>
      <c r="E9" s="20" t="n"/>
      <c r="F9" s="19" t="n"/>
      <c r="G9" s="19" t="n"/>
      <c r="H9" s="19" t="n"/>
      <c r="I9" s="21" t="n"/>
      <c r="J9" s="19" t="n"/>
      <c r="K9" s="21" t="n"/>
      <c r="L9" s="22">
        <f>IF(I9="","",MAX(0,I9-K9))</f>
        <v/>
      </c>
      <c r="M9" s="19" t="n"/>
      <c r="N9" s="18" t="n"/>
      <c r="O9" s="18" t="n"/>
      <c r="P9" s="23" t="n"/>
      <c r="Q9" s="18" t="n"/>
      <c r="R9" s="18" t="n"/>
      <c r="S9" s="18" t="n"/>
      <c r="T9" s="24">
        <f>IF(E9="","",E9-TODAY())</f>
        <v/>
      </c>
      <c r="U9" s="24">
        <f>IF(OR(M9="Paid",M9="Cancelled",E9=""),"",IF(E9&lt;TODAY(),"OVERDUE",IF(E9&lt;=TODAY()+'Setup &amp; Lists'!$M$7,"DUE SOON","")))</f>
        <v/>
      </c>
    </row>
    <row r="10">
      <c r="A10" s="18" t="n"/>
      <c r="B10" s="19" t="n"/>
      <c r="C10" s="19" t="n"/>
      <c r="D10" s="19" t="n"/>
      <c r="E10" s="20" t="n"/>
      <c r="F10" s="19" t="n"/>
      <c r="G10" s="19" t="n"/>
      <c r="H10" s="19" t="n"/>
      <c r="I10" s="21" t="n"/>
      <c r="J10" s="19" t="n"/>
      <c r="K10" s="21" t="n"/>
      <c r="L10" s="22">
        <f>IF(I10="","",MAX(0,I10-K10))</f>
        <v/>
      </c>
      <c r="M10" s="19" t="n"/>
      <c r="N10" s="18" t="n"/>
      <c r="O10" s="18" t="n"/>
      <c r="P10" s="23" t="n"/>
      <c r="Q10" s="18" t="n"/>
      <c r="R10" s="18" t="n"/>
      <c r="S10" s="18" t="n"/>
      <c r="T10" s="24">
        <f>IF(E10="","",E10-TODAY())</f>
        <v/>
      </c>
      <c r="U10" s="24">
        <f>IF(OR(M10="Paid",M10="Cancelled",E10=""),"",IF(E10&lt;TODAY(),"OVERDUE",IF(E10&lt;=TODAY()+'Setup &amp; Lists'!$M$7,"DUE SOON","")))</f>
        <v/>
      </c>
    </row>
    <row r="11">
      <c r="A11" s="18" t="n"/>
      <c r="B11" s="19" t="n"/>
      <c r="C11" s="19" t="n"/>
      <c r="D11" s="19" t="n"/>
      <c r="E11" s="20" t="n"/>
      <c r="F11" s="19" t="n"/>
      <c r="G11" s="19" t="n"/>
      <c r="H11" s="19" t="n"/>
      <c r="I11" s="21" t="n"/>
      <c r="J11" s="19" t="n"/>
      <c r="K11" s="21" t="n"/>
      <c r="L11" s="22">
        <f>IF(I11="","",MAX(0,I11-K11))</f>
        <v/>
      </c>
      <c r="M11" s="19" t="n"/>
      <c r="N11" s="18" t="n"/>
      <c r="O11" s="18" t="n"/>
      <c r="P11" s="23" t="n"/>
      <c r="Q11" s="18" t="n"/>
      <c r="R11" s="18" t="n"/>
      <c r="S11" s="18" t="n"/>
      <c r="T11" s="24">
        <f>IF(E11="","",E11-TODAY())</f>
        <v/>
      </c>
      <c r="U11" s="24">
        <f>IF(OR(M11="Paid",M11="Cancelled",E11=""),"",IF(E11&lt;TODAY(),"OVERDUE",IF(E11&lt;=TODAY()+'Setup &amp; Lists'!$M$7,"DUE SOON","")))</f>
        <v/>
      </c>
    </row>
    <row r="12">
      <c r="A12" s="18" t="n"/>
      <c r="B12" s="19" t="n"/>
      <c r="C12" s="19" t="n"/>
      <c r="D12" s="19" t="n"/>
      <c r="E12" s="20" t="n"/>
      <c r="F12" s="19" t="n"/>
      <c r="G12" s="19" t="n"/>
      <c r="H12" s="19" t="n"/>
      <c r="I12" s="21" t="n"/>
      <c r="J12" s="19" t="n"/>
      <c r="K12" s="21" t="n"/>
      <c r="L12" s="22">
        <f>IF(I12="","",MAX(0,I12-K12))</f>
        <v/>
      </c>
      <c r="M12" s="19" t="n"/>
      <c r="N12" s="18" t="n"/>
      <c r="O12" s="18" t="n"/>
      <c r="P12" s="23" t="n"/>
      <c r="Q12" s="18" t="n"/>
      <c r="R12" s="18" t="n"/>
      <c r="S12" s="18" t="n"/>
      <c r="T12" s="24">
        <f>IF(E12="","",E12-TODAY())</f>
        <v/>
      </c>
      <c r="U12" s="24">
        <f>IF(OR(M12="Paid",M12="Cancelled",E12=""),"",IF(E12&lt;TODAY(),"OVERDUE",IF(E12&lt;=TODAY()+'Setup &amp; Lists'!$M$7,"DUE SOON","")))</f>
        <v/>
      </c>
    </row>
    <row r="13">
      <c r="A13" s="18" t="n"/>
      <c r="B13" s="19" t="n"/>
      <c r="C13" s="19" t="n"/>
      <c r="D13" s="19" t="n"/>
      <c r="E13" s="20" t="n"/>
      <c r="F13" s="19" t="n"/>
      <c r="G13" s="19" t="n"/>
      <c r="H13" s="19" t="n"/>
      <c r="I13" s="21" t="n"/>
      <c r="J13" s="19" t="n"/>
      <c r="K13" s="21" t="n"/>
      <c r="L13" s="22">
        <f>IF(I13="","",MAX(0,I13-K13))</f>
        <v/>
      </c>
      <c r="M13" s="19" t="n"/>
      <c r="N13" s="18" t="n"/>
      <c r="O13" s="18" t="n"/>
      <c r="P13" s="23" t="n"/>
      <c r="Q13" s="18" t="n"/>
      <c r="R13" s="18" t="n"/>
      <c r="S13" s="18" t="n"/>
      <c r="T13" s="24">
        <f>IF(E13="","",E13-TODAY())</f>
        <v/>
      </c>
      <c r="U13" s="24">
        <f>IF(OR(M13="Paid",M13="Cancelled",E13=""),"",IF(E13&lt;TODAY(),"OVERDUE",IF(E13&lt;=TODAY()+'Setup &amp; Lists'!$M$7,"DUE SOON","")))</f>
        <v/>
      </c>
    </row>
    <row r="14">
      <c r="A14" s="18" t="n"/>
      <c r="B14" s="19" t="n"/>
      <c r="C14" s="19" t="n"/>
      <c r="D14" s="19" t="n"/>
      <c r="E14" s="20" t="n"/>
      <c r="F14" s="19" t="n"/>
      <c r="G14" s="19" t="n"/>
      <c r="H14" s="19" t="n"/>
      <c r="I14" s="21" t="n"/>
      <c r="J14" s="19" t="n"/>
      <c r="K14" s="21" t="n"/>
      <c r="L14" s="22">
        <f>IF(I14="","",MAX(0,I14-K14))</f>
        <v/>
      </c>
      <c r="M14" s="19" t="n"/>
      <c r="N14" s="18" t="n"/>
      <c r="O14" s="18" t="n"/>
      <c r="P14" s="23" t="n"/>
      <c r="Q14" s="18" t="n"/>
      <c r="R14" s="18" t="n"/>
      <c r="S14" s="18" t="n"/>
      <c r="T14" s="24">
        <f>IF(E14="","",E14-TODAY())</f>
        <v/>
      </c>
      <c r="U14" s="24">
        <f>IF(OR(M14="Paid",M14="Cancelled",E14=""),"",IF(E14&lt;TODAY(),"OVERDUE",IF(E14&lt;=TODAY()+'Setup &amp; Lists'!$M$7,"DUE SOON","")))</f>
        <v/>
      </c>
    </row>
    <row r="15">
      <c r="A15" s="18" t="n"/>
      <c r="B15" s="19" t="n"/>
      <c r="C15" s="19" t="n"/>
      <c r="D15" s="19" t="n"/>
      <c r="E15" s="20" t="n"/>
      <c r="F15" s="19" t="n"/>
      <c r="G15" s="19" t="n"/>
      <c r="H15" s="19" t="n"/>
      <c r="I15" s="21" t="n"/>
      <c r="J15" s="19" t="n"/>
      <c r="K15" s="21" t="n"/>
      <c r="L15" s="22">
        <f>IF(I15="","",MAX(0,I15-K15))</f>
        <v/>
      </c>
      <c r="M15" s="19" t="n"/>
      <c r="N15" s="18" t="n"/>
      <c r="O15" s="18" t="n"/>
      <c r="P15" s="23" t="n"/>
      <c r="Q15" s="18" t="n"/>
      <c r="R15" s="18" t="n"/>
      <c r="S15" s="18" t="n"/>
      <c r="T15" s="24">
        <f>IF(E15="","",E15-TODAY())</f>
        <v/>
      </c>
      <c r="U15" s="24">
        <f>IF(OR(M15="Paid",M15="Cancelled",E15=""),"",IF(E15&lt;TODAY(),"OVERDUE",IF(E15&lt;=TODAY()+'Setup &amp; Lists'!$M$7,"DUE SOON","")))</f>
        <v/>
      </c>
    </row>
    <row r="16">
      <c r="A16" s="18" t="n"/>
      <c r="B16" s="19" t="n"/>
      <c r="C16" s="19" t="n"/>
      <c r="D16" s="19" t="n"/>
      <c r="E16" s="20" t="n"/>
      <c r="F16" s="19" t="n"/>
      <c r="G16" s="19" t="n"/>
      <c r="H16" s="19" t="n"/>
      <c r="I16" s="21" t="n"/>
      <c r="J16" s="19" t="n"/>
      <c r="K16" s="21" t="n"/>
      <c r="L16" s="22">
        <f>IF(I16="","",MAX(0,I16-K16))</f>
        <v/>
      </c>
      <c r="M16" s="19" t="n"/>
      <c r="N16" s="18" t="n"/>
      <c r="O16" s="18" t="n"/>
      <c r="P16" s="23" t="n"/>
      <c r="Q16" s="18" t="n"/>
      <c r="R16" s="18" t="n"/>
      <c r="S16" s="18" t="n"/>
      <c r="T16" s="24">
        <f>IF(E16="","",E16-TODAY())</f>
        <v/>
      </c>
      <c r="U16" s="24">
        <f>IF(OR(M16="Paid",M16="Cancelled",E16=""),"",IF(E16&lt;TODAY(),"OVERDUE",IF(E16&lt;=TODAY()+'Setup &amp; Lists'!$M$7,"DUE SOON","")))</f>
        <v/>
      </c>
    </row>
    <row r="17">
      <c r="A17" s="18" t="n"/>
      <c r="B17" s="19" t="n"/>
      <c r="C17" s="19" t="n"/>
      <c r="D17" s="19" t="n"/>
      <c r="E17" s="20" t="n"/>
      <c r="F17" s="19" t="n"/>
      <c r="G17" s="19" t="n"/>
      <c r="H17" s="19" t="n"/>
      <c r="I17" s="21" t="n"/>
      <c r="J17" s="19" t="n"/>
      <c r="K17" s="21" t="n"/>
      <c r="L17" s="22">
        <f>IF(I17="","",MAX(0,I17-K17))</f>
        <v/>
      </c>
      <c r="M17" s="19" t="n"/>
      <c r="N17" s="18" t="n"/>
      <c r="O17" s="18" t="n"/>
      <c r="P17" s="23" t="n"/>
      <c r="Q17" s="18" t="n"/>
      <c r="R17" s="18" t="n"/>
      <c r="S17" s="18" t="n"/>
      <c r="T17" s="24">
        <f>IF(E17="","",E17-TODAY())</f>
        <v/>
      </c>
      <c r="U17" s="24">
        <f>IF(OR(M17="Paid",M17="Cancelled",E17=""),"",IF(E17&lt;TODAY(),"OVERDUE",IF(E17&lt;=TODAY()+'Setup &amp; Lists'!$M$7,"DUE SOON","")))</f>
        <v/>
      </c>
    </row>
    <row r="18">
      <c r="A18" s="18" t="n"/>
      <c r="B18" s="19" t="n"/>
      <c r="C18" s="19" t="n"/>
      <c r="D18" s="19" t="n"/>
      <c r="E18" s="20" t="n"/>
      <c r="F18" s="19" t="n"/>
      <c r="G18" s="19" t="n"/>
      <c r="H18" s="19" t="n"/>
      <c r="I18" s="21" t="n"/>
      <c r="J18" s="19" t="n"/>
      <c r="K18" s="21" t="n"/>
      <c r="L18" s="22">
        <f>IF(I18="","",MAX(0,I18-K18))</f>
        <v/>
      </c>
      <c r="M18" s="19" t="n"/>
      <c r="N18" s="18" t="n"/>
      <c r="O18" s="18" t="n"/>
      <c r="P18" s="23" t="n"/>
      <c r="Q18" s="18" t="n"/>
      <c r="R18" s="18" t="n"/>
      <c r="S18" s="18" t="n"/>
      <c r="T18" s="24">
        <f>IF(E18="","",E18-TODAY())</f>
        <v/>
      </c>
      <c r="U18" s="24">
        <f>IF(OR(M18="Paid",M18="Cancelled",E18=""),"",IF(E18&lt;TODAY(),"OVERDUE",IF(E18&lt;=TODAY()+'Setup &amp; Lists'!$M$7,"DUE SOON","")))</f>
        <v/>
      </c>
    </row>
    <row r="19">
      <c r="A19" s="18" t="n"/>
      <c r="B19" s="19" t="n"/>
      <c r="C19" s="19" t="n"/>
      <c r="D19" s="19" t="n"/>
      <c r="E19" s="20" t="n"/>
      <c r="F19" s="19" t="n"/>
      <c r="G19" s="19" t="n"/>
      <c r="H19" s="19" t="n"/>
      <c r="I19" s="21" t="n"/>
      <c r="J19" s="19" t="n"/>
      <c r="K19" s="21" t="n"/>
      <c r="L19" s="22">
        <f>IF(I19="","",MAX(0,I19-K19))</f>
        <v/>
      </c>
      <c r="M19" s="19" t="n"/>
      <c r="N19" s="18" t="n"/>
      <c r="O19" s="18" t="n"/>
      <c r="P19" s="23" t="n"/>
      <c r="Q19" s="18" t="n"/>
      <c r="R19" s="18" t="n"/>
      <c r="S19" s="18" t="n"/>
      <c r="T19" s="24">
        <f>IF(E19="","",E19-TODAY())</f>
        <v/>
      </c>
      <c r="U19" s="24">
        <f>IF(OR(M19="Paid",M19="Cancelled",E19=""),"",IF(E19&lt;TODAY(),"OVERDUE",IF(E19&lt;=TODAY()+'Setup &amp; Lists'!$M$7,"DUE SOON","")))</f>
        <v/>
      </c>
    </row>
    <row r="20">
      <c r="A20" s="18" t="n"/>
      <c r="B20" s="19" t="n"/>
      <c r="C20" s="19" t="n"/>
      <c r="D20" s="19" t="n"/>
      <c r="E20" s="20" t="n"/>
      <c r="F20" s="19" t="n"/>
      <c r="G20" s="19" t="n"/>
      <c r="H20" s="19" t="n"/>
      <c r="I20" s="21" t="n"/>
      <c r="J20" s="19" t="n"/>
      <c r="K20" s="21" t="n"/>
      <c r="L20" s="22">
        <f>IF(I20="","",MAX(0,I20-K20))</f>
        <v/>
      </c>
      <c r="M20" s="19" t="n"/>
      <c r="N20" s="18" t="n"/>
      <c r="O20" s="18" t="n"/>
      <c r="P20" s="23" t="n"/>
      <c r="Q20" s="18" t="n"/>
      <c r="R20" s="18" t="n"/>
      <c r="S20" s="18" t="n"/>
      <c r="T20" s="24">
        <f>IF(E20="","",E20-TODAY())</f>
        <v/>
      </c>
      <c r="U20" s="24">
        <f>IF(OR(M20="Paid",M20="Cancelled",E20=""),"",IF(E20&lt;TODAY(),"OVERDUE",IF(E20&lt;=TODAY()+'Setup &amp; Lists'!$M$7,"DUE SOON","")))</f>
        <v/>
      </c>
    </row>
    <row r="21">
      <c r="A21" s="18" t="n"/>
      <c r="B21" s="19" t="n"/>
      <c r="C21" s="19" t="n"/>
      <c r="D21" s="19" t="n"/>
      <c r="E21" s="20" t="n"/>
      <c r="F21" s="19" t="n"/>
      <c r="G21" s="19" t="n"/>
      <c r="H21" s="19" t="n"/>
      <c r="I21" s="21" t="n"/>
      <c r="J21" s="19" t="n"/>
      <c r="K21" s="21" t="n"/>
      <c r="L21" s="22">
        <f>IF(I21="","",MAX(0,I21-K21))</f>
        <v/>
      </c>
      <c r="M21" s="19" t="n"/>
      <c r="N21" s="18" t="n"/>
      <c r="O21" s="18" t="n"/>
      <c r="P21" s="23" t="n"/>
      <c r="Q21" s="18" t="n"/>
      <c r="R21" s="18" t="n"/>
      <c r="S21" s="18" t="n"/>
      <c r="T21" s="24">
        <f>IF(E21="","",E21-TODAY())</f>
        <v/>
      </c>
      <c r="U21" s="24">
        <f>IF(OR(M21="Paid",M21="Cancelled",E21=""),"",IF(E21&lt;TODAY(),"OVERDUE",IF(E21&lt;=TODAY()+'Setup &amp; Lists'!$M$7,"DUE SOON","")))</f>
        <v/>
      </c>
    </row>
    <row r="22">
      <c r="A22" s="18" t="n"/>
      <c r="B22" s="19" t="n"/>
      <c r="C22" s="19" t="n"/>
      <c r="D22" s="19" t="n"/>
      <c r="E22" s="20" t="n"/>
      <c r="F22" s="19" t="n"/>
      <c r="G22" s="19" t="n"/>
      <c r="H22" s="19" t="n"/>
      <c r="I22" s="21" t="n"/>
      <c r="J22" s="19" t="n"/>
      <c r="K22" s="21" t="n"/>
      <c r="L22" s="22">
        <f>IF(I22="","",MAX(0,I22-K22))</f>
        <v/>
      </c>
      <c r="M22" s="19" t="n"/>
      <c r="N22" s="18" t="n"/>
      <c r="O22" s="18" t="n"/>
      <c r="P22" s="23" t="n"/>
      <c r="Q22" s="18" t="n"/>
      <c r="R22" s="18" t="n"/>
      <c r="S22" s="18" t="n"/>
      <c r="T22" s="24">
        <f>IF(E22="","",E22-TODAY())</f>
        <v/>
      </c>
      <c r="U22" s="24">
        <f>IF(OR(M22="Paid",M22="Cancelled",E22=""),"",IF(E22&lt;TODAY(),"OVERDUE",IF(E22&lt;=TODAY()+'Setup &amp; Lists'!$M$7,"DUE SOON","")))</f>
        <v/>
      </c>
    </row>
    <row r="23">
      <c r="A23" s="18" t="n"/>
      <c r="B23" s="19" t="n"/>
      <c r="C23" s="19" t="n"/>
      <c r="D23" s="19" t="n"/>
      <c r="E23" s="20" t="n"/>
      <c r="F23" s="19" t="n"/>
      <c r="G23" s="19" t="n"/>
      <c r="H23" s="19" t="n"/>
      <c r="I23" s="21" t="n"/>
      <c r="J23" s="19" t="n"/>
      <c r="K23" s="21" t="n"/>
      <c r="L23" s="22">
        <f>IF(I23="","",MAX(0,I23-K23))</f>
        <v/>
      </c>
      <c r="M23" s="19" t="n"/>
      <c r="N23" s="18" t="n"/>
      <c r="O23" s="18" t="n"/>
      <c r="P23" s="23" t="n"/>
      <c r="Q23" s="18" t="n"/>
      <c r="R23" s="18" t="n"/>
      <c r="S23" s="18" t="n"/>
      <c r="T23" s="24">
        <f>IF(E23="","",E23-TODAY())</f>
        <v/>
      </c>
      <c r="U23" s="24">
        <f>IF(OR(M23="Paid",M23="Cancelled",E23=""),"",IF(E23&lt;TODAY(),"OVERDUE",IF(E23&lt;=TODAY()+'Setup &amp; Lists'!$M$7,"DUE SOON","")))</f>
        <v/>
      </c>
    </row>
    <row r="24">
      <c r="A24" s="18" t="n"/>
      <c r="B24" s="19" t="n"/>
      <c r="C24" s="19" t="n"/>
      <c r="D24" s="19" t="n"/>
      <c r="E24" s="20" t="n"/>
      <c r="F24" s="19" t="n"/>
      <c r="G24" s="19" t="n"/>
      <c r="H24" s="19" t="n"/>
      <c r="I24" s="21" t="n"/>
      <c r="J24" s="19" t="n"/>
      <c r="K24" s="21" t="n"/>
      <c r="L24" s="22">
        <f>IF(I24="","",MAX(0,I24-K24))</f>
        <v/>
      </c>
      <c r="M24" s="19" t="n"/>
      <c r="N24" s="18" t="n"/>
      <c r="O24" s="18" t="n"/>
      <c r="P24" s="23" t="n"/>
      <c r="Q24" s="18" t="n"/>
      <c r="R24" s="18" t="n"/>
      <c r="S24" s="18" t="n"/>
      <c r="T24" s="24">
        <f>IF(E24="","",E24-TODAY())</f>
        <v/>
      </c>
      <c r="U24" s="24">
        <f>IF(OR(M24="Paid",M24="Cancelled",E24=""),"",IF(E24&lt;TODAY(),"OVERDUE",IF(E24&lt;=TODAY()+'Setup &amp; Lists'!$M$7,"DUE SOON","")))</f>
        <v/>
      </c>
    </row>
    <row r="25">
      <c r="A25" s="18" t="n"/>
      <c r="B25" s="19" t="n"/>
      <c r="C25" s="19" t="n"/>
      <c r="D25" s="19" t="n"/>
      <c r="E25" s="20" t="n"/>
      <c r="F25" s="19" t="n"/>
      <c r="G25" s="19" t="n"/>
      <c r="H25" s="19" t="n"/>
      <c r="I25" s="21" t="n"/>
      <c r="J25" s="19" t="n"/>
      <c r="K25" s="21" t="n"/>
      <c r="L25" s="22">
        <f>IF(I25="","",MAX(0,I25-K25))</f>
        <v/>
      </c>
      <c r="M25" s="19" t="n"/>
      <c r="N25" s="18" t="n"/>
      <c r="O25" s="18" t="n"/>
      <c r="P25" s="23" t="n"/>
      <c r="Q25" s="18" t="n"/>
      <c r="R25" s="18" t="n"/>
      <c r="S25" s="18" t="n"/>
      <c r="T25" s="24">
        <f>IF(E25="","",E25-TODAY())</f>
        <v/>
      </c>
      <c r="U25" s="24">
        <f>IF(OR(M25="Paid",M25="Cancelled",E25=""),"",IF(E25&lt;TODAY(),"OVERDUE",IF(E25&lt;=TODAY()+'Setup &amp; Lists'!$M$7,"DUE SOON","")))</f>
        <v/>
      </c>
    </row>
    <row r="26">
      <c r="A26" s="18" t="n"/>
      <c r="B26" s="19" t="n"/>
      <c r="C26" s="19" t="n"/>
      <c r="D26" s="19" t="n"/>
      <c r="E26" s="20" t="n"/>
      <c r="F26" s="19" t="n"/>
      <c r="G26" s="19" t="n"/>
      <c r="H26" s="19" t="n"/>
      <c r="I26" s="21" t="n"/>
      <c r="J26" s="19" t="n"/>
      <c r="K26" s="21" t="n"/>
      <c r="L26" s="22">
        <f>IF(I26="","",MAX(0,I26-K26))</f>
        <v/>
      </c>
      <c r="M26" s="19" t="n"/>
      <c r="N26" s="18" t="n"/>
      <c r="O26" s="18" t="n"/>
      <c r="P26" s="23" t="n"/>
      <c r="Q26" s="18" t="n"/>
      <c r="R26" s="18" t="n"/>
      <c r="S26" s="18" t="n"/>
      <c r="T26" s="24">
        <f>IF(E26="","",E26-TODAY())</f>
        <v/>
      </c>
      <c r="U26" s="24">
        <f>IF(OR(M26="Paid",M26="Cancelled",E26=""),"",IF(E26&lt;TODAY(),"OVERDUE",IF(E26&lt;=TODAY()+'Setup &amp; Lists'!$M$7,"DUE SOON","")))</f>
        <v/>
      </c>
    </row>
    <row r="27">
      <c r="A27" s="18" t="n"/>
      <c r="B27" s="19" t="n"/>
      <c r="C27" s="19" t="n"/>
      <c r="D27" s="19" t="n"/>
      <c r="E27" s="20" t="n"/>
      <c r="F27" s="19" t="n"/>
      <c r="G27" s="19" t="n"/>
      <c r="H27" s="19" t="n"/>
      <c r="I27" s="21" t="n"/>
      <c r="J27" s="19" t="n"/>
      <c r="K27" s="21" t="n"/>
      <c r="L27" s="22">
        <f>IF(I27="","",MAX(0,I27-K27))</f>
        <v/>
      </c>
      <c r="M27" s="19" t="n"/>
      <c r="N27" s="18" t="n"/>
      <c r="O27" s="18" t="n"/>
      <c r="P27" s="23" t="n"/>
      <c r="Q27" s="18" t="n"/>
      <c r="R27" s="18" t="n"/>
      <c r="S27" s="18" t="n"/>
      <c r="T27" s="24">
        <f>IF(E27="","",E27-TODAY())</f>
        <v/>
      </c>
      <c r="U27" s="24">
        <f>IF(OR(M27="Paid",M27="Cancelled",E27=""),"",IF(E27&lt;TODAY(),"OVERDUE",IF(E27&lt;=TODAY()+'Setup &amp; Lists'!$M$7,"DUE SOON","")))</f>
        <v/>
      </c>
    </row>
    <row r="28">
      <c r="A28" s="18" t="n"/>
      <c r="B28" s="19" t="n"/>
      <c r="C28" s="19" t="n"/>
      <c r="D28" s="19" t="n"/>
      <c r="E28" s="20" t="n"/>
      <c r="F28" s="19" t="n"/>
      <c r="G28" s="19" t="n"/>
      <c r="H28" s="19" t="n"/>
      <c r="I28" s="21" t="n"/>
      <c r="J28" s="19" t="n"/>
      <c r="K28" s="21" t="n"/>
      <c r="L28" s="22">
        <f>IF(I28="","",MAX(0,I28-K28))</f>
        <v/>
      </c>
      <c r="M28" s="19" t="n"/>
      <c r="N28" s="18" t="n"/>
      <c r="O28" s="18" t="n"/>
      <c r="P28" s="23" t="n"/>
      <c r="Q28" s="18" t="n"/>
      <c r="R28" s="18" t="n"/>
      <c r="S28" s="18" t="n"/>
      <c r="T28" s="24">
        <f>IF(E28="","",E28-TODAY())</f>
        <v/>
      </c>
      <c r="U28" s="24">
        <f>IF(OR(M28="Paid",M28="Cancelled",E28=""),"",IF(E28&lt;TODAY(),"OVERDUE",IF(E28&lt;=TODAY()+'Setup &amp; Lists'!$M$7,"DUE SOON","")))</f>
        <v/>
      </c>
    </row>
    <row r="29">
      <c r="A29" s="18" t="n"/>
      <c r="B29" s="19" t="n"/>
      <c r="C29" s="19" t="n"/>
      <c r="D29" s="19" t="n"/>
      <c r="E29" s="20" t="n"/>
      <c r="F29" s="19" t="n"/>
      <c r="G29" s="19" t="n"/>
      <c r="H29" s="19" t="n"/>
      <c r="I29" s="21" t="n"/>
      <c r="J29" s="19" t="n"/>
      <c r="K29" s="21" t="n"/>
      <c r="L29" s="22">
        <f>IF(I29="","",MAX(0,I29-K29))</f>
        <v/>
      </c>
      <c r="M29" s="19" t="n"/>
      <c r="N29" s="18" t="n"/>
      <c r="O29" s="18" t="n"/>
      <c r="P29" s="23" t="n"/>
      <c r="Q29" s="18" t="n"/>
      <c r="R29" s="18" t="n"/>
      <c r="S29" s="18" t="n"/>
      <c r="T29" s="24">
        <f>IF(E29="","",E29-TODAY())</f>
        <v/>
      </c>
      <c r="U29" s="24">
        <f>IF(OR(M29="Paid",M29="Cancelled",E29=""),"",IF(E29&lt;TODAY(),"OVERDUE",IF(E29&lt;=TODAY()+'Setup &amp; Lists'!$M$7,"DUE SOON","")))</f>
        <v/>
      </c>
    </row>
    <row r="30">
      <c r="A30" s="18" t="n"/>
      <c r="B30" s="19" t="n"/>
      <c r="C30" s="19" t="n"/>
      <c r="D30" s="19" t="n"/>
      <c r="E30" s="20" t="n"/>
      <c r="F30" s="19" t="n"/>
      <c r="G30" s="19" t="n"/>
      <c r="H30" s="19" t="n"/>
      <c r="I30" s="21" t="n"/>
      <c r="J30" s="19" t="n"/>
      <c r="K30" s="21" t="n"/>
      <c r="L30" s="22">
        <f>IF(I30="","",MAX(0,I30-K30))</f>
        <v/>
      </c>
      <c r="M30" s="19" t="n"/>
      <c r="N30" s="18" t="n"/>
      <c r="O30" s="18" t="n"/>
      <c r="P30" s="23" t="n"/>
      <c r="Q30" s="18" t="n"/>
      <c r="R30" s="18" t="n"/>
      <c r="S30" s="18" t="n"/>
      <c r="T30" s="24">
        <f>IF(E30="","",E30-TODAY())</f>
        <v/>
      </c>
      <c r="U30" s="24">
        <f>IF(OR(M30="Paid",M30="Cancelled",E30=""),"",IF(E30&lt;TODAY(),"OVERDUE",IF(E30&lt;=TODAY()+'Setup &amp; Lists'!$M$7,"DUE SOON","")))</f>
        <v/>
      </c>
    </row>
    <row r="31">
      <c r="A31" s="18" t="n"/>
      <c r="B31" s="19" t="n"/>
      <c r="C31" s="19" t="n"/>
      <c r="D31" s="19" t="n"/>
      <c r="E31" s="20" t="n"/>
      <c r="F31" s="19" t="n"/>
      <c r="G31" s="19" t="n"/>
      <c r="H31" s="19" t="n"/>
      <c r="I31" s="21" t="n"/>
      <c r="J31" s="19" t="n"/>
      <c r="K31" s="21" t="n"/>
      <c r="L31" s="22">
        <f>IF(I31="","",MAX(0,I31-K31))</f>
        <v/>
      </c>
      <c r="M31" s="19" t="n"/>
      <c r="N31" s="18" t="n"/>
      <c r="O31" s="18" t="n"/>
      <c r="P31" s="23" t="n"/>
      <c r="Q31" s="18" t="n"/>
      <c r="R31" s="18" t="n"/>
      <c r="S31" s="18" t="n"/>
      <c r="T31" s="24">
        <f>IF(E31="","",E31-TODAY())</f>
        <v/>
      </c>
      <c r="U31" s="24">
        <f>IF(OR(M31="Paid",M31="Cancelled",E31=""),"",IF(E31&lt;TODAY(),"OVERDUE",IF(E31&lt;=TODAY()+'Setup &amp; Lists'!$M$7,"DUE SOON","")))</f>
        <v/>
      </c>
    </row>
    <row r="32">
      <c r="A32" s="18" t="n"/>
      <c r="B32" s="19" t="n"/>
      <c r="C32" s="19" t="n"/>
      <c r="D32" s="19" t="n"/>
      <c r="E32" s="20" t="n"/>
      <c r="F32" s="19" t="n"/>
      <c r="G32" s="19" t="n"/>
      <c r="H32" s="19" t="n"/>
      <c r="I32" s="21" t="n"/>
      <c r="J32" s="19" t="n"/>
      <c r="K32" s="21" t="n"/>
      <c r="L32" s="22">
        <f>IF(I32="","",MAX(0,I32-K32))</f>
        <v/>
      </c>
      <c r="M32" s="19" t="n"/>
      <c r="N32" s="18" t="n"/>
      <c r="O32" s="18" t="n"/>
      <c r="P32" s="23" t="n"/>
      <c r="Q32" s="18" t="n"/>
      <c r="R32" s="18" t="n"/>
      <c r="S32" s="18" t="n"/>
      <c r="T32" s="24">
        <f>IF(E32="","",E32-TODAY())</f>
        <v/>
      </c>
      <c r="U32" s="24">
        <f>IF(OR(M32="Paid",M32="Cancelled",E32=""),"",IF(E32&lt;TODAY(),"OVERDUE",IF(E32&lt;=TODAY()+'Setup &amp; Lists'!$M$7,"DUE SOON","")))</f>
        <v/>
      </c>
    </row>
    <row r="33">
      <c r="A33" s="18" t="n"/>
      <c r="B33" s="19" t="n"/>
      <c r="C33" s="19" t="n"/>
      <c r="D33" s="19" t="n"/>
      <c r="E33" s="20" t="n"/>
      <c r="F33" s="19" t="n"/>
      <c r="G33" s="19" t="n"/>
      <c r="H33" s="19" t="n"/>
      <c r="I33" s="21" t="n"/>
      <c r="J33" s="19" t="n"/>
      <c r="K33" s="21" t="n"/>
      <c r="L33" s="22">
        <f>IF(I33="","",MAX(0,I33-K33))</f>
        <v/>
      </c>
      <c r="M33" s="19" t="n"/>
      <c r="N33" s="18" t="n"/>
      <c r="O33" s="18" t="n"/>
      <c r="P33" s="23" t="n"/>
      <c r="Q33" s="18" t="n"/>
      <c r="R33" s="18" t="n"/>
      <c r="S33" s="18" t="n"/>
      <c r="T33" s="24">
        <f>IF(E33="","",E33-TODAY())</f>
        <v/>
      </c>
      <c r="U33" s="24">
        <f>IF(OR(M33="Paid",M33="Cancelled",E33=""),"",IF(E33&lt;TODAY(),"OVERDUE",IF(E33&lt;=TODAY()+'Setup &amp; Lists'!$M$7,"DUE SOON","")))</f>
        <v/>
      </c>
    </row>
    <row r="34">
      <c r="A34" s="18" t="n"/>
      <c r="B34" s="19" t="n"/>
      <c r="C34" s="19" t="n"/>
      <c r="D34" s="19" t="n"/>
      <c r="E34" s="20" t="n"/>
      <c r="F34" s="19" t="n"/>
      <c r="G34" s="19" t="n"/>
      <c r="H34" s="19" t="n"/>
      <c r="I34" s="21" t="n"/>
      <c r="J34" s="19" t="n"/>
      <c r="K34" s="21" t="n"/>
      <c r="L34" s="22">
        <f>IF(I34="","",MAX(0,I34-K34))</f>
        <v/>
      </c>
      <c r="M34" s="19" t="n"/>
      <c r="N34" s="18" t="n"/>
      <c r="O34" s="18" t="n"/>
      <c r="P34" s="23" t="n"/>
      <c r="Q34" s="18" t="n"/>
      <c r="R34" s="18" t="n"/>
      <c r="S34" s="18" t="n"/>
      <c r="T34" s="24">
        <f>IF(E34="","",E34-TODAY())</f>
        <v/>
      </c>
      <c r="U34" s="24">
        <f>IF(OR(M34="Paid",M34="Cancelled",E34=""),"",IF(E34&lt;TODAY(),"OVERDUE",IF(E34&lt;=TODAY()+'Setup &amp; Lists'!$M$7,"DUE SOON","")))</f>
        <v/>
      </c>
    </row>
    <row r="35">
      <c r="A35" s="18" t="n"/>
      <c r="B35" s="19" t="n"/>
      <c r="C35" s="19" t="n"/>
      <c r="D35" s="19" t="n"/>
      <c r="E35" s="20" t="n"/>
      <c r="F35" s="19" t="n"/>
      <c r="G35" s="19" t="n"/>
      <c r="H35" s="19" t="n"/>
      <c r="I35" s="21" t="n"/>
      <c r="J35" s="19" t="n"/>
      <c r="K35" s="21" t="n"/>
      <c r="L35" s="22">
        <f>IF(I35="","",MAX(0,I35-K35))</f>
        <v/>
      </c>
      <c r="M35" s="19" t="n"/>
      <c r="N35" s="18" t="n"/>
      <c r="O35" s="18" t="n"/>
      <c r="P35" s="23" t="n"/>
      <c r="Q35" s="18" t="n"/>
      <c r="R35" s="18" t="n"/>
      <c r="S35" s="18" t="n"/>
      <c r="T35" s="24">
        <f>IF(E35="","",E35-TODAY())</f>
        <v/>
      </c>
      <c r="U35" s="24">
        <f>IF(OR(M35="Paid",M35="Cancelled",E35=""),"",IF(E35&lt;TODAY(),"OVERDUE",IF(E35&lt;=TODAY()+'Setup &amp; Lists'!$M$7,"DUE SOON","")))</f>
        <v/>
      </c>
    </row>
    <row r="36">
      <c r="A36" s="18" t="n"/>
      <c r="B36" s="19" t="n"/>
      <c r="C36" s="19" t="n"/>
      <c r="D36" s="19" t="n"/>
      <c r="E36" s="20" t="n"/>
      <c r="F36" s="19" t="n"/>
      <c r="G36" s="19" t="n"/>
      <c r="H36" s="19" t="n"/>
      <c r="I36" s="21" t="n"/>
      <c r="J36" s="19" t="n"/>
      <c r="K36" s="21" t="n"/>
      <c r="L36" s="22">
        <f>IF(I36="","",MAX(0,I36-K36))</f>
        <v/>
      </c>
      <c r="M36" s="19" t="n"/>
      <c r="N36" s="18" t="n"/>
      <c r="O36" s="18" t="n"/>
      <c r="P36" s="23" t="n"/>
      <c r="Q36" s="18" t="n"/>
      <c r="R36" s="18" t="n"/>
      <c r="S36" s="18" t="n"/>
      <c r="T36" s="24">
        <f>IF(E36="","",E36-TODAY())</f>
        <v/>
      </c>
      <c r="U36" s="24">
        <f>IF(OR(M36="Paid",M36="Cancelled",E36=""),"",IF(E36&lt;TODAY(),"OVERDUE",IF(E36&lt;=TODAY()+'Setup &amp; Lists'!$M$7,"DUE SOON","")))</f>
        <v/>
      </c>
    </row>
    <row r="37">
      <c r="A37" s="18" t="n"/>
      <c r="B37" s="19" t="n"/>
      <c r="C37" s="19" t="n"/>
      <c r="D37" s="19" t="n"/>
      <c r="E37" s="20" t="n"/>
      <c r="F37" s="19" t="n"/>
      <c r="G37" s="19" t="n"/>
      <c r="H37" s="19" t="n"/>
      <c r="I37" s="21" t="n"/>
      <c r="J37" s="19" t="n"/>
      <c r="K37" s="21" t="n"/>
      <c r="L37" s="22">
        <f>IF(I37="","",MAX(0,I37-K37))</f>
        <v/>
      </c>
      <c r="M37" s="19" t="n"/>
      <c r="N37" s="18" t="n"/>
      <c r="O37" s="18" t="n"/>
      <c r="P37" s="23" t="n"/>
      <c r="Q37" s="18" t="n"/>
      <c r="R37" s="18" t="n"/>
      <c r="S37" s="18" t="n"/>
      <c r="T37" s="24">
        <f>IF(E37="","",E37-TODAY())</f>
        <v/>
      </c>
      <c r="U37" s="24">
        <f>IF(OR(M37="Paid",M37="Cancelled",E37=""),"",IF(E37&lt;TODAY(),"OVERDUE",IF(E37&lt;=TODAY()+'Setup &amp; Lists'!$M$7,"DUE SOON","")))</f>
        <v/>
      </c>
    </row>
    <row r="38">
      <c r="A38" s="18" t="n"/>
      <c r="B38" s="19" t="n"/>
      <c r="C38" s="19" t="n"/>
      <c r="D38" s="19" t="n"/>
      <c r="E38" s="20" t="n"/>
      <c r="F38" s="19" t="n"/>
      <c r="G38" s="19" t="n"/>
      <c r="H38" s="19" t="n"/>
      <c r="I38" s="21" t="n"/>
      <c r="J38" s="19" t="n"/>
      <c r="K38" s="21" t="n"/>
      <c r="L38" s="22">
        <f>IF(I38="","",MAX(0,I38-K38))</f>
        <v/>
      </c>
      <c r="M38" s="19" t="n"/>
      <c r="N38" s="18" t="n"/>
      <c r="O38" s="18" t="n"/>
      <c r="P38" s="23" t="n"/>
      <c r="Q38" s="18" t="n"/>
      <c r="R38" s="18" t="n"/>
      <c r="S38" s="18" t="n"/>
      <c r="T38" s="24">
        <f>IF(E38="","",E38-TODAY())</f>
        <v/>
      </c>
      <c r="U38" s="24">
        <f>IF(OR(M38="Paid",M38="Cancelled",E38=""),"",IF(E38&lt;TODAY(),"OVERDUE",IF(E38&lt;=TODAY()+'Setup &amp; Lists'!$M$7,"DUE SOON","")))</f>
        <v/>
      </c>
    </row>
    <row r="39">
      <c r="A39" s="18" t="n"/>
      <c r="B39" s="19" t="n"/>
      <c r="C39" s="19" t="n"/>
      <c r="D39" s="19" t="n"/>
      <c r="E39" s="20" t="n"/>
      <c r="F39" s="19" t="n"/>
      <c r="G39" s="19" t="n"/>
      <c r="H39" s="19" t="n"/>
      <c r="I39" s="21" t="n"/>
      <c r="J39" s="19" t="n"/>
      <c r="K39" s="21" t="n"/>
      <c r="L39" s="22">
        <f>IF(I39="","",MAX(0,I39-K39))</f>
        <v/>
      </c>
      <c r="M39" s="19" t="n"/>
      <c r="N39" s="18" t="n"/>
      <c r="O39" s="18" t="n"/>
      <c r="P39" s="23" t="n"/>
      <c r="Q39" s="18" t="n"/>
      <c r="R39" s="18" t="n"/>
      <c r="S39" s="18" t="n"/>
      <c r="T39" s="24">
        <f>IF(E39="","",E39-TODAY())</f>
        <v/>
      </c>
      <c r="U39" s="24">
        <f>IF(OR(M39="Paid",M39="Cancelled",E39=""),"",IF(E39&lt;TODAY(),"OVERDUE",IF(E39&lt;=TODAY()+'Setup &amp; Lists'!$M$7,"DUE SOON","")))</f>
        <v/>
      </c>
    </row>
    <row r="40">
      <c r="A40" s="18" t="n"/>
      <c r="B40" s="19" t="n"/>
      <c r="C40" s="19" t="n"/>
      <c r="D40" s="19" t="n"/>
      <c r="E40" s="20" t="n"/>
      <c r="F40" s="19" t="n"/>
      <c r="G40" s="19" t="n"/>
      <c r="H40" s="19" t="n"/>
      <c r="I40" s="21" t="n"/>
      <c r="J40" s="19" t="n"/>
      <c r="K40" s="21" t="n"/>
      <c r="L40" s="22">
        <f>IF(I40="","",MAX(0,I40-K40))</f>
        <v/>
      </c>
      <c r="M40" s="19" t="n"/>
      <c r="N40" s="18" t="n"/>
      <c r="O40" s="18" t="n"/>
      <c r="P40" s="23" t="n"/>
      <c r="Q40" s="18" t="n"/>
      <c r="R40" s="18" t="n"/>
      <c r="S40" s="18" t="n"/>
      <c r="T40" s="24">
        <f>IF(E40="","",E40-TODAY())</f>
        <v/>
      </c>
      <c r="U40" s="24">
        <f>IF(OR(M40="Paid",M40="Cancelled",E40=""),"",IF(E40&lt;TODAY(),"OVERDUE",IF(E40&lt;=TODAY()+'Setup &amp; Lists'!$M$7,"DUE SOON","")))</f>
        <v/>
      </c>
    </row>
    <row r="41">
      <c r="A41" s="18" t="n"/>
      <c r="B41" s="19" t="n"/>
      <c r="C41" s="19" t="n"/>
      <c r="D41" s="19" t="n"/>
      <c r="E41" s="20" t="n"/>
      <c r="F41" s="19" t="n"/>
      <c r="G41" s="19" t="n"/>
      <c r="H41" s="19" t="n"/>
      <c r="I41" s="21" t="n"/>
      <c r="J41" s="19" t="n"/>
      <c r="K41" s="21" t="n"/>
      <c r="L41" s="22">
        <f>IF(I41="","",MAX(0,I41-K41))</f>
        <v/>
      </c>
      <c r="M41" s="19" t="n"/>
      <c r="N41" s="18" t="n"/>
      <c r="O41" s="18" t="n"/>
      <c r="P41" s="23" t="n"/>
      <c r="Q41" s="18" t="n"/>
      <c r="R41" s="18" t="n"/>
      <c r="S41" s="18" t="n"/>
      <c r="T41" s="24">
        <f>IF(E41="","",E41-TODAY())</f>
        <v/>
      </c>
      <c r="U41" s="24">
        <f>IF(OR(M41="Paid",M41="Cancelled",E41=""),"",IF(E41&lt;TODAY(),"OVERDUE",IF(E41&lt;=TODAY()+'Setup &amp; Lists'!$M$7,"DUE SOON","")))</f>
        <v/>
      </c>
    </row>
    <row r="42">
      <c r="A42" s="18" t="n"/>
      <c r="B42" s="19" t="n"/>
      <c r="C42" s="19" t="n"/>
      <c r="D42" s="19" t="n"/>
      <c r="E42" s="20" t="n"/>
      <c r="F42" s="19" t="n"/>
      <c r="G42" s="19" t="n"/>
      <c r="H42" s="19" t="n"/>
      <c r="I42" s="21" t="n"/>
      <c r="J42" s="19" t="n"/>
      <c r="K42" s="21" t="n"/>
      <c r="L42" s="22">
        <f>IF(I42="","",MAX(0,I42-K42))</f>
        <v/>
      </c>
      <c r="M42" s="19" t="n"/>
      <c r="N42" s="18" t="n"/>
      <c r="O42" s="18" t="n"/>
      <c r="P42" s="23" t="n"/>
      <c r="Q42" s="18" t="n"/>
      <c r="R42" s="18" t="n"/>
      <c r="S42" s="18" t="n"/>
      <c r="T42" s="24">
        <f>IF(E42="","",E42-TODAY())</f>
        <v/>
      </c>
      <c r="U42" s="24">
        <f>IF(OR(M42="Paid",M42="Cancelled",E42=""),"",IF(E42&lt;TODAY(),"OVERDUE",IF(E42&lt;=TODAY()+'Setup &amp; Lists'!$M$7,"DUE SOON","")))</f>
        <v/>
      </c>
    </row>
    <row r="43">
      <c r="A43" s="18" t="n"/>
      <c r="B43" s="19" t="n"/>
      <c r="C43" s="19" t="n"/>
      <c r="D43" s="19" t="n"/>
      <c r="E43" s="20" t="n"/>
      <c r="F43" s="19" t="n"/>
      <c r="G43" s="19" t="n"/>
      <c r="H43" s="19" t="n"/>
      <c r="I43" s="21" t="n"/>
      <c r="J43" s="19" t="n"/>
      <c r="K43" s="21" t="n"/>
      <c r="L43" s="22">
        <f>IF(I43="","",MAX(0,I43-K43))</f>
        <v/>
      </c>
      <c r="M43" s="19" t="n"/>
      <c r="N43" s="18" t="n"/>
      <c r="O43" s="18" t="n"/>
      <c r="P43" s="23" t="n"/>
      <c r="Q43" s="18" t="n"/>
      <c r="R43" s="18" t="n"/>
      <c r="S43" s="18" t="n"/>
      <c r="T43" s="24">
        <f>IF(E43="","",E43-TODAY())</f>
        <v/>
      </c>
      <c r="U43" s="24">
        <f>IF(OR(M43="Paid",M43="Cancelled",E43=""),"",IF(E43&lt;TODAY(),"OVERDUE",IF(E43&lt;=TODAY()+'Setup &amp; Lists'!$M$7,"DUE SOON","")))</f>
        <v/>
      </c>
    </row>
    <row r="44">
      <c r="A44" s="18" t="n"/>
      <c r="B44" s="19" t="n"/>
      <c r="C44" s="19" t="n"/>
      <c r="D44" s="19" t="n"/>
      <c r="E44" s="20" t="n"/>
      <c r="F44" s="19" t="n"/>
      <c r="G44" s="19" t="n"/>
      <c r="H44" s="19" t="n"/>
      <c r="I44" s="21" t="n"/>
      <c r="J44" s="19" t="n"/>
      <c r="K44" s="21" t="n"/>
      <c r="L44" s="22">
        <f>IF(I44="","",MAX(0,I44-K44))</f>
        <v/>
      </c>
      <c r="M44" s="19" t="n"/>
      <c r="N44" s="18" t="n"/>
      <c r="O44" s="18" t="n"/>
      <c r="P44" s="23" t="n"/>
      <c r="Q44" s="18" t="n"/>
      <c r="R44" s="18" t="n"/>
      <c r="S44" s="18" t="n"/>
      <c r="T44" s="24">
        <f>IF(E44="","",E44-TODAY())</f>
        <v/>
      </c>
      <c r="U44" s="24">
        <f>IF(OR(M44="Paid",M44="Cancelled",E44=""),"",IF(E44&lt;TODAY(),"OVERDUE",IF(E44&lt;=TODAY()+'Setup &amp; Lists'!$M$7,"DUE SOON","")))</f>
        <v/>
      </c>
    </row>
    <row r="45">
      <c r="A45" s="18" t="n"/>
      <c r="B45" s="19" t="n"/>
      <c r="C45" s="19" t="n"/>
      <c r="D45" s="19" t="n"/>
      <c r="E45" s="20" t="n"/>
      <c r="F45" s="19" t="n"/>
      <c r="G45" s="19" t="n"/>
      <c r="H45" s="19" t="n"/>
      <c r="I45" s="21" t="n"/>
      <c r="J45" s="19" t="n"/>
      <c r="K45" s="21" t="n"/>
      <c r="L45" s="22">
        <f>IF(I45="","",MAX(0,I45-K45))</f>
        <v/>
      </c>
      <c r="M45" s="19" t="n"/>
      <c r="N45" s="18" t="n"/>
      <c r="O45" s="18" t="n"/>
      <c r="P45" s="23" t="n"/>
      <c r="Q45" s="18" t="n"/>
      <c r="R45" s="18" t="n"/>
      <c r="S45" s="18" t="n"/>
      <c r="T45" s="24">
        <f>IF(E45="","",E45-TODAY())</f>
        <v/>
      </c>
      <c r="U45" s="24">
        <f>IF(OR(M45="Paid",M45="Cancelled",E45=""),"",IF(E45&lt;TODAY(),"OVERDUE",IF(E45&lt;=TODAY()+'Setup &amp; Lists'!$M$7,"DUE SOON","")))</f>
        <v/>
      </c>
    </row>
    <row r="46">
      <c r="A46" s="18" t="n"/>
      <c r="B46" s="19" t="n"/>
      <c r="C46" s="19" t="n"/>
      <c r="D46" s="19" t="n"/>
      <c r="E46" s="20" t="n"/>
      <c r="F46" s="19" t="n"/>
      <c r="G46" s="19" t="n"/>
      <c r="H46" s="19" t="n"/>
      <c r="I46" s="21" t="n"/>
      <c r="J46" s="19" t="n"/>
      <c r="K46" s="21" t="n"/>
      <c r="L46" s="22">
        <f>IF(I46="","",MAX(0,I46-K46))</f>
        <v/>
      </c>
      <c r="M46" s="19" t="n"/>
      <c r="N46" s="18" t="n"/>
      <c r="O46" s="18" t="n"/>
      <c r="P46" s="23" t="n"/>
      <c r="Q46" s="18" t="n"/>
      <c r="R46" s="18" t="n"/>
      <c r="S46" s="18" t="n"/>
      <c r="T46" s="24">
        <f>IF(E46="","",E46-TODAY())</f>
        <v/>
      </c>
      <c r="U46" s="24">
        <f>IF(OR(M46="Paid",M46="Cancelled",E46=""),"",IF(E46&lt;TODAY(),"OVERDUE",IF(E46&lt;=TODAY()+'Setup &amp; Lists'!$M$7,"DUE SOON","")))</f>
        <v/>
      </c>
    </row>
    <row r="47">
      <c r="A47" s="18" t="n"/>
      <c r="B47" s="19" t="n"/>
      <c r="C47" s="19" t="n"/>
      <c r="D47" s="19" t="n"/>
      <c r="E47" s="20" t="n"/>
      <c r="F47" s="19" t="n"/>
      <c r="G47" s="19" t="n"/>
      <c r="H47" s="19" t="n"/>
      <c r="I47" s="21" t="n"/>
      <c r="J47" s="19" t="n"/>
      <c r="K47" s="21" t="n"/>
      <c r="L47" s="22">
        <f>IF(I47="","",MAX(0,I47-K47))</f>
        <v/>
      </c>
      <c r="M47" s="19" t="n"/>
      <c r="N47" s="18" t="n"/>
      <c r="O47" s="18" t="n"/>
      <c r="P47" s="23" t="n"/>
      <c r="Q47" s="18" t="n"/>
      <c r="R47" s="18" t="n"/>
      <c r="S47" s="18" t="n"/>
      <c r="T47" s="24">
        <f>IF(E47="","",E47-TODAY())</f>
        <v/>
      </c>
      <c r="U47" s="24">
        <f>IF(OR(M47="Paid",M47="Cancelled",E47=""),"",IF(E47&lt;TODAY(),"OVERDUE",IF(E47&lt;=TODAY()+'Setup &amp; Lists'!$M$7,"DUE SOON","")))</f>
        <v/>
      </c>
    </row>
    <row r="48">
      <c r="A48" s="18" t="n"/>
      <c r="B48" s="19" t="n"/>
      <c r="C48" s="19" t="n"/>
      <c r="D48" s="19" t="n"/>
      <c r="E48" s="20" t="n"/>
      <c r="F48" s="19" t="n"/>
      <c r="G48" s="19" t="n"/>
      <c r="H48" s="19" t="n"/>
      <c r="I48" s="21" t="n"/>
      <c r="J48" s="19" t="n"/>
      <c r="K48" s="21" t="n"/>
      <c r="L48" s="22">
        <f>IF(I48="","",MAX(0,I48-K48))</f>
        <v/>
      </c>
      <c r="M48" s="19" t="n"/>
      <c r="N48" s="18" t="n"/>
      <c r="O48" s="18" t="n"/>
      <c r="P48" s="23" t="n"/>
      <c r="Q48" s="18" t="n"/>
      <c r="R48" s="18" t="n"/>
      <c r="S48" s="18" t="n"/>
      <c r="T48" s="24">
        <f>IF(E48="","",E48-TODAY())</f>
        <v/>
      </c>
      <c r="U48" s="24">
        <f>IF(OR(M48="Paid",M48="Cancelled",E48=""),"",IF(E48&lt;TODAY(),"OVERDUE",IF(E48&lt;=TODAY()+'Setup &amp; Lists'!$M$7,"DUE SOON","")))</f>
        <v/>
      </c>
    </row>
    <row r="49">
      <c r="A49" s="18" t="n"/>
      <c r="B49" s="19" t="n"/>
      <c r="C49" s="19" t="n"/>
      <c r="D49" s="19" t="n"/>
      <c r="E49" s="20" t="n"/>
      <c r="F49" s="19" t="n"/>
      <c r="G49" s="19" t="n"/>
      <c r="H49" s="19" t="n"/>
      <c r="I49" s="21" t="n"/>
      <c r="J49" s="19" t="n"/>
      <c r="K49" s="21" t="n"/>
      <c r="L49" s="22">
        <f>IF(I49="","",MAX(0,I49-K49))</f>
        <v/>
      </c>
      <c r="M49" s="19" t="n"/>
      <c r="N49" s="18" t="n"/>
      <c r="O49" s="18" t="n"/>
      <c r="P49" s="23" t="n"/>
      <c r="Q49" s="18" t="n"/>
      <c r="R49" s="18" t="n"/>
      <c r="S49" s="18" t="n"/>
      <c r="T49" s="24">
        <f>IF(E49="","",E49-TODAY())</f>
        <v/>
      </c>
      <c r="U49" s="24">
        <f>IF(OR(M49="Paid",M49="Cancelled",E49=""),"",IF(E49&lt;TODAY(),"OVERDUE",IF(E49&lt;=TODAY()+'Setup &amp; Lists'!$M$7,"DUE SOON","")))</f>
        <v/>
      </c>
    </row>
    <row r="50">
      <c r="A50" s="18" t="n"/>
      <c r="B50" s="19" t="n"/>
      <c r="C50" s="19" t="n"/>
      <c r="D50" s="19" t="n"/>
      <c r="E50" s="20" t="n"/>
      <c r="F50" s="19" t="n"/>
      <c r="G50" s="19" t="n"/>
      <c r="H50" s="19" t="n"/>
      <c r="I50" s="21" t="n"/>
      <c r="J50" s="19" t="n"/>
      <c r="K50" s="21" t="n"/>
      <c r="L50" s="22">
        <f>IF(I50="","",MAX(0,I50-K50))</f>
        <v/>
      </c>
      <c r="M50" s="19" t="n"/>
      <c r="N50" s="18" t="n"/>
      <c r="O50" s="18" t="n"/>
      <c r="P50" s="23" t="n"/>
      <c r="Q50" s="18" t="n"/>
      <c r="R50" s="18" t="n"/>
      <c r="S50" s="18" t="n"/>
      <c r="T50" s="24">
        <f>IF(E50="","",E50-TODAY())</f>
        <v/>
      </c>
      <c r="U50" s="24">
        <f>IF(OR(M50="Paid",M50="Cancelled",E50=""),"",IF(E50&lt;TODAY(),"OVERDUE",IF(E50&lt;=TODAY()+'Setup &amp; Lists'!$M$7,"DUE SOON","")))</f>
        <v/>
      </c>
    </row>
    <row r="51">
      <c r="A51" s="18" t="n"/>
      <c r="B51" s="19" t="n"/>
      <c r="C51" s="19" t="n"/>
      <c r="D51" s="19" t="n"/>
      <c r="E51" s="20" t="n"/>
      <c r="F51" s="19" t="n"/>
      <c r="G51" s="19" t="n"/>
      <c r="H51" s="19" t="n"/>
      <c r="I51" s="21" t="n"/>
      <c r="J51" s="19" t="n"/>
      <c r="K51" s="21" t="n"/>
      <c r="L51" s="22">
        <f>IF(I51="","",MAX(0,I51-K51))</f>
        <v/>
      </c>
      <c r="M51" s="19" t="n"/>
      <c r="N51" s="18" t="n"/>
      <c r="O51" s="18" t="n"/>
      <c r="P51" s="23" t="n"/>
      <c r="Q51" s="18" t="n"/>
      <c r="R51" s="18" t="n"/>
      <c r="S51" s="18" t="n"/>
      <c r="T51" s="24">
        <f>IF(E51="","",E51-TODAY())</f>
        <v/>
      </c>
      <c r="U51" s="24">
        <f>IF(OR(M51="Paid",M51="Cancelled",E51=""),"",IF(E51&lt;TODAY(),"OVERDUE",IF(E51&lt;=TODAY()+'Setup &amp; Lists'!$M$7,"DUE SOON","")))</f>
        <v/>
      </c>
    </row>
    <row r="52">
      <c r="A52" s="18" t="n"/>
      <c r="B52" s="19" t="n"/>
      <c r="C52" s="19" t="n"/>
      <c r="D52" s="19" t="n"/>
      <c r="E52" s="20" t="n"/>
      <c r="F52" s="19" t="n"/>
      <c r="G52" s="19" t="n"/>
      <c r="H52" s="19" t="n"/>
      <c r="I52" s="21" t="n"/>
      <c r="J52" s="19" t="n"/>
      <c r="K52" s="21" t="n"/>
      <c r="L52" s="22">
        <f>IF(I52="","",MAX(0,I52-K52))</f>
        <v/>
      </c>
      <c r="M52" s="19" t="n"/>
      <c r="N52" s="18" t="n"/>
      <c r="O52" s="18" t="n"/>
      <c r="P52" s="23" t="n"/>
      <c r="Q52" s="18" t="n"/>
      <c r="R52" s="18" t="n"/>
      <c r="S52" s="18" t="n"/>
      <c r="T52" s="24">
        <f>IF(E52="","",E52-TODAY())</f>
        <v/>
      </c>
      <c r="U52" s="24">
        <f>IF(OR(M52="Paid",M52="Cancelled",E52=""),"",IF(E52&lt;TODAY(),"OVERDUE",IF(E52&lt;=TODAY()+'Setup &amp; Lists'!$M$7,"DUE SOON","")))</f>
        <v/>
      </c>
    </row>
    <row r="53">
      <c r="A53" s="18" t="n"/>
      <c r="B53" s="19" t="n"/>
      <c r="C53" s="19" t="n"/>
      <c r="D53" s="19" t="n"/>
      <c r="E53" s="20" t="n"/>
      <c r="F53" s="19" t="n"/>
      <c r="G53" s="19" t="n"/>
      <c r="H53" s="19" t="n"/>
      <c r="I53" s="21" t="n"/>
      <c r="J53" s="19" t="n"/>
      <c r="K53" s="21" t="n"/>
      <c r="L53" s="22">
        <f>IF(I53="","",MAX(0,I53-K53))</f>
        <v/>
      </c>
      <c r="M53" s="19" t="n"/>
      <c r="N53" s="18" t="n"/>
      <c r="O53" s="18" t="n"/>
      <c r="P53" s="23" t="n"/>
      <c r="Q53" s="18" t="n"/>
      <c r="R53" s="18" t="n"/>
      <c r="S53" s="18" t="n"/>
      <c r="T53" s="24">
        <f>IF(E53="","",E53-TODAY())</f>
        <v/>
      </c>
      <c r="U53" s="24">
        <f>IF(OR(M53="Paid",M53="Cancelled",E53=""),"",IF(E53&lt;TODAY(),"OVERDUE",IF(E53&lt;=TODAY()+'Setup &amp; Lists'!$M$7,"DUE SOON","")))</f>
        <v/>
      </c>
    </row>
    <row r="54">
      <c r="A54" s="18" t="n"/>
      <c r="B54" s="19" t="n"/>
      <c r="C54" s="19" t="n"/>
      <c r="D54" s="19" t="n"/>
      <c r="E54" s="20" t="n"/>
      <c r="F54" s="19" t="n"/>
      <c r="G54" s="19" t="n"/>
      <c r="H54" s="19" t="n"/>
      <c r="I54" s="21" t="n"/>
      <c r="J54" s="19" t="n"/>
      <c r="K54" s="21" t="n"/>
      <c r="L54" s="22">
        <f>IF(I54="","",MAX(0,I54-K54))</f>
        <v/>
      </c>
      <c r="M54" s="19" t="n"/>
      <c r="N54" s="18" t="n"/>
      <c r="O54" s="18" t="n"/>
      <c r="P54" s="23" t="n"/>
      <c r="Q54" s="18" t="n"/>
      <c r="R54" s="18" t="n"/>
      <c r="S54" s="18" t="n"/>
      <c r="T54" s="24">
        <f>IF(E54="","",E54-TODAY())</f>
        <v/>
      </c>
      <c r="U54" s="24">
        <f>IF(OR(M54="Paid",M54="Cancelled",E54=""),"",IF(E54&lt;TODAY(),"OVERDUE",IF(E54&lt;=TODAY()+'Setup &amp; Lists'!$M$7,"DUE SOON","")))</f>
        <v/>
      </c>
    </row>
    <row r="55">
      <c r="A55" s="18" t="n"/>
      <c r="B55" s="19" t="n"/>
      <c r="C55" s="19" t="n"/>
      <c r="D55" s="19" t="n"/>
      <c r="E55" s="20" t="n"/>
      <c r="F55" s="19" t="n"/>
      <c r="G55" s="19" t="n"/>
      <c r="H55" s="19" t="n"/>
      <c r="I55" s="21" t="n"/>
      <c r="J55" s="19" t="n"/>
      <c r="K55" s="21" t="n"/>
      <c r="L55" s="22">
        <f>IF(I55="","",MAX(0,I55-K55))</f>
        <v/>
      </c>
      <c r="M55" s="19" t="n"/>
      <c r="N55" s="18" t="n"/>
      <c r="O55" s="18" t="n"/>
      <c r="P55" s="23" t="n"/>
      <c r="Q55" s="18" t="n"/>
      <c r="R55" s="18" t="n"/>
      <c r="S55" s="18" t="n"/>
      <c r="T55" s="24">
        <f>IF(E55="","",E55-TODAY())</f>
        <v/>
      </c>
      <c r="U55" s="24">
        <f>IF(OR(M55="Paid",M55="Cancelled",E55=""),"",IF(E55&lt;TODAY(),"OVERDUE",IF(E55&lt;=TODAY()+'Setup &amp; Lists'!$M$7,"DUE SOON","")))</f>
        <v/>
      </c>
    </row>
    <row r="56">
      <c r="A56" s="18" t="n"/>
      <c r="B56" s="19" t="n"/>
      <c r="C56" s="19" t="n"/>
      <c r="D56" s="19" t="n"/>
      <c r="E56" s="20" t="n"/>
      <c r="F56" s="19" t="n"/>
      <c r="G56" s="19" t="n"/>
      <c r="H56" s="19" t="n"/>
      <c r="I56" s="21" t="n"/>
      <c r="J56" s="19" t="n"/>
      <c r="K56" s="21" t="n"/>
      <c r="L56" s="22">
        <f>IF(I56="","",MAX(0,I56-K56))</f>
        <v/>
      </c>
      <c r="M56" s="19" t="n"/>
      <c r="N56" s="18" t="n"/>
      <c r="O56" s="18" t="n"/>
      <c r="P56" s="23" t="n"/>
      <c r="Q56" s="18" t="n"/>
      <c r="R56" s="18" t="n"/>
      <c r="S56" s="18" t="n"/>
      <c r="T56" s="24">
        <f>IF(E56="","",E56-TODAY())</f>
        <v/>
      </c>
      <c r="U56" s="24">
        <f>IF(OR(M56="Paid",M56="Cancelled",E56=""),"",IF(E56&lt;TODAY(),"OVERDUE",IF(E56&lt;=TODAY()+'Setup &amp; Lists'!$M$7,"DUE SOON","")))</f>
        <v/>
      </c>
    </row>
    <row r="57">
      <c r="A57" s="18" t="n"/>
      <c r="B57" s="19" t="n"/>
      <c r="C57" s="19" t="n"/>
      <c r="D57" s="19" t="n"/>
      <c r="E57" s="20" t="n"/>
      <c r="F57" s="19" t="n"/>
      <c r="G57" s="19" t="n"/>
      <c r="H57" s="19" t="n"/>
      <c r="I57" s="21" t="n"/>
      <c r="J57" s="19" t="n"/>
      <c r="K57" s="21" t="n"/>
      <c r="L57" s="22">
        <f>IF(I57="","",MAX(0,I57-K57))</f>
        <v/>
      </c>
      <c r="M57" s="19" t="n"/>
      <c r="N57" s="18" t="n"/>
      <c r="O57" s="18" t="n"/>
      <c r="P57" s="23" t="n"/>
      <c r="Q57" s="18" t="n"/>
      <c r="R57" s="18" t="n"/>
      <c r="S57" s="18" t="n"/>
      <c r="T57" s="24">
        <f>IF(E57="","",E57-TODAY())</f>
        <v/>
      </c>
      <c r="U57" s="24">
        <f>IF(OR(M57="Paid",M57="Cancelled",E57=""),"",IF(E57&lt;TODAY(),"OVERDUE",IF(E57&lt;=TODAY()+'Setup &amp; Lists'!$M$7,"DUE SOON","")))</f>
        <v/>
      </c>
    </row>
    <row r="58">
      <c r="A58" s="18" t="n"/>
      <c r="B58" s="19" t="n"/>
      <c r="C58" s="19" t="n"/>
      <c r="D58" s="19" t="n"/>
      <c r="E58" s="20" t="n"/>
      <c r="F58" s="19" t="n"/>
      <c r="G58" s="19" t="n"/>
      <c r="H58" s="19" t="n"/>
      <c r="I58" s="21" t="n"/>
      <c r="J58" s="19" t="n"/>
      <c r="K58" s="21" t="n"/>
      <c r="L58" s="22">
        <f>IF(I58="","",MAX(0,I58-K58))</f>
        <v/>
      </c>
      <c r="M58" s="19" t="n"/>
      <c r="N58" s="18" t="n"/>
      <c r="O58" s="18" t="n"/>
      <c r="P58" s="23" t="n"/>
      <c r="Q58" s="18" t="n"/>
      <c r="R58" s="18" t="n"/>
      <c r="S58" s="18" t="n"/>
      <c r="T58" s="24">
        <f>IF(E58="","",E58-TODAY())</f>
        <v/>
      </c>
      <c r="U58" s="24">
        <f>IF(OR(M58="Paid",M58="Cancelled",E58=""),"",IF(E58&lt;TODAY(),"OVERDUE",IF(E58&lt;=TODAY()+'Setup &amp; Lists'!$M$7,"DUE SOON","")))</f>
        <v/>
      </c>
    </row>
    <row r="59">
      <c r="A59" s="18" t="n"/>
      <c r="B59" s="19" t="n"/>
      <c r="C59" s="19" t="n"/>
      <c r="D59" s="19" t="n"/>
      <c r="E59" s="20" t="n"/>
      <c r="F59" s="19" t="n"/>
      <c r="G59" s="19" t="n"/>
      <c r="H59" s="19" t="n"/>
      <c r="I59" s="21" t="n"/>
      <c r="J59" s="19" t="n"/>
      <c r="K59" s="21" t="n"/>
      <c r="L59" s="22">
        <f>IF(I59="","",MAX(0,I59-K59))</f>
        <v/>
      </c>
      <c r="M59" s="19" t="n"/>
      <c r="N59" s="18" t="n"/>
      <c r="O59" s="18" t="n"/>
      <c r="P59" s="23" t="n"/>
      <c r="Q59" s="18" t="n"/>
      <c r="R59" s="18" t="n"/>
      <c r="S59" s="18" t="n"/>
      <c r="T59" s="24">
        <f>IF(E59="","",E59-TODAY())</f>
        <v/>
      </c>
      <c r="U59" s="24">
        <f>IF(OR(M59="Paid",M59="Cancelled",E59=""),"",IF(E59&lt;TODAY(),"OVERDUE",IF(E59&lt;=TODAY()+'Setup &amp; Lists'!$M$7,"DUE SOON","")))</f>
        <v/>
      </c>
    </row>
    <row r="60">
      <c r="A60" s="18" t="n"/>
      <c r="B60" s="19" t="n"/>
      <c r="C60" s="19" t="n"/>
      <c r="D60" s="19" t="n"/>
      <c r="E60" s="20" t="n"/>
      <c r="F60" s="19" t="n"/>
      <c r="G60" s="19" t="n"/>
      <c r="H60" s="19" t="n"/>
      <c r="I60" s="21" t="n"/>
      <c r="J60" s="19" t="n"/>
      <c r="K60" s="21" t="n"/>
      <c r="L60" s="22">
        <f>IF(I60="","",MAX(0,I60-K60))</f>
        <v/>
      </c>
      <c r="M60" s="19" t="n"/>
      <c r="N60" s="18" t="n"/>
      <c r="O60" s="18" t="n"/>
      <c r="P60" s="23" t="n"/>
      <c r="Q60" s="18" t="n"/>
      <c r="R60" s="18" t="n"/>
      <c r="S60" s="18" t="n"/>
      <c r="T60" s="24">
        <f>IF(E60="","",E60-TODAY())</f>
        <v/>
      </c>
      <c r="U60" s="24">
        <f>IF(OR(M60="Paid",M60="Cancelled",E60=""),"",IF(E60&lt;TODAY(),"OVERDUE",IF(E60&lt;=TODAY()+'Setup &amp; Lists'!$M$7,"DUE SOON","")))</f>
        <v/>
      </c>
    </row>
    <row r="61">
      <c r="A61" s="18" t="n"/>
      <c r="B61" s="19" t="n"/>
      <c r="C61" s="19" t="n"/>
      <c r="D61" s="19" t="n"/>
      <c r="E61" s="20" t="n"/>
      <c r="F61" s="19" t="n"/>
      <c r="G61" s="19" t="n"/>
      <c r="H61" s="19" t="n"/>
      <c r="I61" s="21" t="n"/>
      <c r="J61" s="19" t="n"/>
      <c r="K61" s="21" t="n"/>
      <c r="L61" s="22">
        <f>IF(I61="","",MAX(0,I61-K61))</f>
        <v/>
      </c>
      <c r="M61" s="19" t="n"/>
      <c r="N61" s="18" t="n"/>
      <c r="O61" s="18" t="n"/>
      <c r="P61" s="23" t="n"/>
      <c r="Q61" s="18" t="n"/>
      <c r="R61" s="18" t="n"/>
      <c r="S61" s="18" t="n"/>
      <c r="T61" s="24">
        <f>IF(E61="","",E61-TODAY())</f>
        <v/>
      </c>
      <c r="U61" s="24">
        <f>IF(OR(M61="Paid",M61="Cancelled",E61=""),"",IF(E61&lt;TODAY(),"OVERDUE",IF(E61&lt;=TODAY()+'Setup &amp; Lists'!$M$7,"DUE SOON","")))</f>
        <v/>
      </c>
    </row>
    <row r="62">
      <c r="A62" s="18" t="n"/>
      <c r="B62" s="19" t="n"/>
      <c r="C62" s="19" t="n"/>
      <c r="D62" s="19" t="n"/>
      <c r="E62" s="20" t="n"/>
      <c r="F62" s="19" t="n"/>
      <c r="G62" s="19" t="n"/>
      <c r="H62" s="19" t="n"/>
      <c r="I62" s="21" t="n"/>
      <c r="J62" s="19" t="n"/>
      <c r="K62" s="21" t="n"/>
      <c r="L62" s="22">
        <f>IF(I62="","",MAX(0,I62-K62))</f>
        <v/>
      </c>
      <c r="M62" s="19" t="n"/>
      <c r="N62" s="18" t="n"/>
      <c r="O62" s="18" t="n"/>
      <c r="P62" s="23" t="n"/>
      <c r="Q62" s="18" t="n"/>
      <c r="R62" s="18" t="n"/>
      <c r="S62" s="18" t="n"/>
      <c r="T62" s="24">
        <f>IF(E62="","",E62-TODAY())</f>
        <v/>
      </c>
      <c r="U62" s="24">
        <f>IF(OR(M62="Paid",M62="Cancelled",E62=""),"",IF(E62&lt;TODAY(),"OVERDUE",IF(E62&lt;=TODAY()+'Setup &amp; Lists'!$M$7,"DUE SOON","")))</f>
        <v/>
      </c>
    </row>
    <row r="63">
      <c r="A63" s="18" t="n"/>
      <c r="B63" s="19" t="n"/>
      <c r="C63" s="19" t="n"/>
      <c r="D63" s="19" t="n"/>
      <c r="E63" s="20" t="n"/>
      <c r="F63" s="19" t="n"/>
      <c r="G63" s="19" t="n"/>
      <c r="H63" s="19" t="n"/>
      <c r="I63" s="21" t="n"/>
      <c r="J63" s="19" t="n"/>
      <c r="K63" s="21" t="n"/>
      <c r="L63" s="22">
        <f>IF(I63="","",MAX(0,I63-K63))</f>
        <v/>
      </c>
      <c r="M63" s="19" t="n"/>
      <c r="N63" s="18" t="n"/>
      <c r="O63" s="18" t="n"/>
      <c r="P63" s="23" t="n"/>
      <c r="Q63" s="18" t="n"/>
      <c r="R63" s="18" t="n"/>
      <c r="S63" s="18" t="n"/>
      <c r="T63" s="24">
        <f>IF(E63="","",E63-TODAY())</f>
        <v/>
      </c>
      <c r="U63" s="24">
        <f>IF(OR(M63="Paid",M63="Cancelled",E63=""),"",IF(E63&lt;TODAY(),"OVERDUE",IF(E63&lt;=TODAY()+'Setup &amp; Lists'!$M$7,"DUE SOON","")))</f>
        <v/>
      </c>
    </row>
    <row r="64">
      <c r="A64" s="18" t="n"/>
      <c r="B64" s="19" t="n"/>
      <c r="C64" s="19" t="n"/>
      <c r="D64" s="19" t="n"/>
      <c r="E64" s="20" t="n"/>
      <c r="F64" s="19" t="n"/>
      <c r="G64" s="19" t="n"/>
      <c r="H64" s="19" t="n"/>
      <c r="I64" s="21" t="n"/>
      <c r="J64" s="19" t="n"/>
      <c r="K64" s="21" t="n"/>
      <c r="L64" s="22">
        <f>IF(I64="","",MAX(0,I64-K64))</f>
        <v/>
      </c>
      <c r="M64" s="19" t="n"/>
      <c r="N64" s="18" t="n"/>
      <c r="O64" s="18" t="n"/>
      <c r="P64" s="23" t="n"/>
      <c r="Q64" s="18" t="n"/>
      <c r="R64" s="18" t="n"/>
      <c r="S64" s="18" t="n"/>
      <c r="T64" s="24">
        <f>IF(E64="","",E64-TODAY())</f>
        <v/>
      </c>
      <c r="U64" s="24">
        <f>IF(OR(M64="Paid",M64="Cancelled",E64=""),"",IF(E64&lt;TODAY(),"OVERDUE",IF(E64&lt;=TODAY()+'Setup &amp; Lists'!$M$7,"DUE SOON","")))</f>
        <v/>
      </c>
    </row>
    <row r="65">
      <c r="A65" s="18" t="n"/>
      <c r="B65" s="19" t="n"/>
      <c r="C65" s="19" t="n"/>
      <c r="D65" s="19" t="n"/>
      <c r="E65" s="20" t="n"/>
      <c r="F65" s="19" t="n"/>
      <c r="G65" s="19" t="n"/>
      <c r="H65" s="19" t="n"/>
      <c r="I65" s="21" t="n"/>
      <c r="J65" s="19" t="n"/>
      <c r="K65" s="21" t="n"/>
      <c r="L65" s="22">
        <f>IF(I65="","",MAX(0,I65-K65))</f>
        <v/>
      </c>
      <c r="M65" s="19" t="n"/>
      <c r="N65" s="18" t="n"/>
      <c r="O65" s="18" t="n"/>
      <c r="P65" s="23" t="n"/>
      <c r="Q65" s="18" t="n"/>
      <c r="R65" s="18" t="n"/>
      <c r="S65" s="18" t="n"/>
      <c r="T65" s="24">
        <f>IF(E65="","",E65-TODAY())</f>
        <v/>
      </c>
      <c r="U65" s="24">
        <f>IF(OR(M65="Paid",M65="Cancelled",E65=""),"",IF(E65&lt;TODAY(),"OVERDUE",IF(E65&lt;=TODAY()+'Setup &amp; Lists'!$M$7,"DUE SOON","")))</f>
        <v/>
      </c>
    </row>
    <row r="66">
      <c r="A66" s="18" t="n"/>
      <c r="B66" s="19" t="n"/>
      <c r="C66" s="19" t="n"/>
      <c r="D66" s="19" t="n"/>
      <c r="E66" s="20" t="n"/>
      <c r="F66" s="19" t="n"/>
      <c r="G66" s="19" t="n"/>
      <c r="H66" s="19" t="n"/>
      <c r="I66" s="21" t="n"/>
      <c r="J66" s="19" t="n"/>
      <c r="K66" s="21" t="n"/>
      <c r="L66" s="22">
        <f>IF(I66="","",MAX(0,I66-K66))</f>
        <v/>
      </c>
      <c r="M66" s="19" t="n"/>
      <c r="N66" s="18" t="n"/>
      <c r="O66" s="18" t="n"/>
      <c r="P66" s="23" t="n"/>
      <c r="Q66" s="18" t="n"/>
      <c r="R66" s="18" t="n"/>
      <c r="S66" s="18" t="n"/>
      <c r="T66" s="24">
        <f>IF(E66="","",E66-TODAY())</f>
        <v/>
      </c>
      <c r="U66" s="24">
        <f>IF(OR(M66="Paid",M66="Cancelled",E66=""),"",IF(E66&lt;TODAY(),"OVERDUE",IF(E66&lt;=TODAY()+'Setup &amp; Lists'!$M$7,"DUE SOON","")))</f>
        <v/>
      </c>
    </row>
    <row r="67">
      <c r="A67" s="18" t="n"/>
      <c r="B67" s="19" t="n"/>
      <c r="C67" s="19" t="n"/>
      <c r="D67" s="19" t="n"/>
      <c r="E67" s="20" t="n"/>
      <c r="F67" s="19" t="n"/>
      <c r="G67" s="19" t="n"/>
      <c r="H67" s="19" t="n"/>
      <c r="I67" s="21" t="n"/>
      <c r="J67" s="19" t="n"/>
      <c r="K67" s="21" t="n"/>
      <c r="L67" s="22">
        <f>IF(I67="","",MAX(0,I67-K67))</f>
        <v/>
      </c>
      <c r="M67" s="19" t="n"/>
      <c r="N67" s="18" t="n"/>
      <c r="O67" s="18" t="n"/>
      <c r="P67" s="23" t="n"/>
      <c r="Q67" s="18" t="n"/>
      <c r="R67" s="18" t="n"/>
      <c r="S67" s="18" t="n"/>
      <c r="T67" s="24">
        <f>IF(E67="","",E67-TODAY())</f>
        <v/>
      </c>
      <c r="U67" s="24">
        <f>IF(OR(M67="Paid",M67="Cancelled",E67=""),"",IF(E67&lt;TODAY(),"OVERDUE",IF(E67&lt;=TODAY()+'Setup &amp; Lists'!$M$7,"DUE SOON","")))</f>
        <v/>
      </c>
    </row>
    <row r="68">
      <c r="A68" s="18" t="n"/>
      <c r="B68" s="19" t="n"/>
      <c r="C68" s="19" t="n"/>
      <c r="D68" s="19" t="n"/>
      <c r="E68" s="20" t="n"/>
      <c r="F68" s="19" t="n"/>
      <c r="G68" s="19" t="n"/>
      <c r="H68" s="19" t="n"/>
      <c r="I68" s="21" t="n"/>
      <c r="J68" s="19" t="n"/>
      <c r="K68" s="21" t="n"/>
      <c r="L68" s="22">
        <f>IF(I68="","",MAX(0,I68-K68))</f>
        <v/>
      </c>
      <c r="M68" s="19" t="n"/>
      <c r="N68" s="18" t="n"/>
      <c r="O68" s="18" t="n"/>
      <c r="P68" s="23" t="n"/>
      <c r="Q68" s="18" t="n"/>
      <c r="R68" s="18" t="n"/>
      <c r="S68" s="18" t="n"/>
      <c r="T68" s="24">
        <f>IF(E68="","",E68-TODAY())</f>
        <v/>
      </c>
      <c r="U68" s="24">
        <f>IF(OR(M68="Paid",M68="Cancelled",E68=""),"",IF(E68&lt;TODAY(),"OVERDUE",IF(E68&lt;=TODAY()+'Setup &amp; Lists'!$M$7,"DUE SOON","")))</f>
        <v/>
      </c>
    </row>
    <row r="69">
      <c r="A69" s="18" t="n"/>
      <c r="B69" s="19" t="n"/>
      <c r="C69" s="19" t="n"/>
      <c r="D69" s="19" t="n"/>
      <c r="E69" s="20" t="n"/>
      <c r="F69" s="19" t="n"/>
      <c r="G69" s="19" t="n"/>
      <c r="H69" s="19" t="n"/>
      <c r="I69" s="21" t="n"/>
      <c r="J69" s="19" t="n"/>
      <c r="K69" s="21" t="n"/>
      <c r="L69" s="22">
        <f>IF(I69="","",MAX(0,I69-K69))</f>
        <v/>
      </c>
      <c r="M69" s="19" t="n"/>
      <c r="N69" s="18" t="n"/>
      <c r="O69" s="18" t="n"/>
      <c r="P69" s="23" t="n"/>
      <c r="Q69" s="18" t="n"/>
      <c r="R69" s="18" t="n"/>
      <c r="S69" s="18" t="n"/>
      <c r="T69" s="24">
        <f>IF(E69="","",E69-TODAY())</f>
        <v/>
      </c>
      <c r="U69" s="24">
        <f>IF(OR(M69="Paid",M69="Cancelled",E69=""),"",IF(E69&lt;TODAY(),"OVERDUE",IF(E69&lt;=TODAY()+'Setup &amp; Lists'!$M$7,"DUE SOON","")))</f>
        <v/>
      </c>
    </row>
    <row r="70">
      <c r="A70" s="18" t="n"/>
      <c r="B70" s="19" t="n"/>
      <c r="C70" s="19" t="n"/>
      <c r="D70" s="19" t="n"/>
      <c r="E70" s="20" t="n"/>
      <c r="F70" s="19" t="n"/>
      <c r="G70" s="19" t="n"/>
      <c r="H70" s="19" t="n"/>
      <c r="I70" s="21" t="n"/>
      <c r="J70" s="19" t="n"/>
      <c r="K70" s="21" t="n"/>
      <c r="L70" s="22">
        <f>IF(I70="","",MAX(0,I70-K70))</f>
        <v/>
      </c>
      <c r="M70" s="19" t="n"/>
      <c r="N70" s="18" t="n"/>
      <c r="O70" s="18" t="n"/>
      <c r="P70" s="23" t="n"/>
      <c r="Q70" s="18" t="n"/>
      <c r="R70" s="18" t="n"/>
      <c r="S70" s="18" t="n"/>
      <c r="T70" s="24">
        <f>IF(E70="","",E70-TODAY())</f>
        <v/>
      </c>
      <c r="U70" s="24">
        <f>IF(OR(M70="Paid",M70="Cancelled",E70=""),"",IF(E70&lt;TODAY(),"OVERDUE",IF(E70&lt;=TODAY()+'Setup &amp; Lists'!$M$7,"DUE SOON","")))</f>
        <v/>
      </c>
    </row>
    <row r="71">
      <c r="A71" s="18" t="n"/>
      <c r="B71" s="19" t="n"/>
      <c r="C71" s="19" t="n"/>
      <c r="D71" s="19" t="n"/>
      <c r="E71" s="20" t="n"/>
      <c r="F71" s="19" t="n"/>
      <c r="G71" s="19" t="n"/>
      <c r="H71" s="19" t="n"/>
      <c r="I71" s="21" t="n"/>
      <c r="J71" s="19" t="n"/>
      <c r="K71" s="21" t="n"/>
      <c r="L71" s="22">
        <f>IF(I71="","",MAX(0,I71-K71))</f>
        <v/>
      </c>
      <c r="M71" s="19" t="n"/>
      <c r="N71" s="18" t="n"/>
      <c r="O71" s="18" t="n"/>
      <c r="P71" s="23" t="n"/>
      <c r="Q71" s="18" t="n"/>
      <c r="R71" s="18" t="n"/>
      <c r="S71" s="18" t="n"/>
      <c r="T71" s="24">
        <f>IF(E71="","",E71-TODAY())</f>
        <v/>
      </c>
      <c r="U71" s="24">
        <f>IF(OR(M71="Paid",M71="Cancelled",E71=""),"",IF(E71&lt;TODAY(),"OVERDUE",IF(E71&lt;=TODAY()+'Setup &amp; Lists'!$M$7,"DUE SOON","")))</f>
        <v/>
      </c>
    </row>
    <row r="72">
      <c r="A72" s="18" t="n"/>
      <c r="B72" s="19" t="n"/>
      <c r="C72" s="19" t="n"/>
      <c r="D72" s="19" t="n"/>
      <c r="E72" s="20" t="n"/>
      <c r="F72" s="19" t="n"/>
      <c r="G72" s="19" t="n"/>
      <c r="H72" s="19" t="n"/>
      <c r="I72" s="21" t="n"/>
      <c r="J72" s="19" t="n"/>
      <c r="K72" s="21" t="n"/>
      <c r="L72" s="22">
        <f>IF(I72="","",MAX(0,I72-K72))</f>
        <v/>
      </c>
      <c r="M72" s="19" t="n"/>
      <c r="N72" s="18" t="n"/>
      <c r="O72" s="18" t="n"/>
      <c r="P72" s="23" t="n"/>
      <c r="Q72" s="18" t="n"/>
      <c r="R72" s="18" t="n"/>
      <c r="S72" s="18" t="n"/>
      <c r="T72" s="24">
        <f>IF(E72="","",E72-TODAY())</f>
        <v/>
      </c>
      <c r="U72" s="24">
        <f>IF(OR(M72="Paid",M72="Cancelled",E72=""),"",IF(E72&lt;TODAY(),"OVERDUE",IF(E72&lt;=TODAY()+'Setup &amp; Lists'!$M$7,"DUE SOON","")))</f>
        <v/>
      </c>
    </row>
    <row r="73">
      <c r="A73" s="18" t="n"/>
      <c r="B73" s="19" t="n"/>
      <c r="C73" s="19" t="n"/>
      <c r="D73" s="19" t="n"/>
      <c r="E73" s="20" t="n"/>
      <c r="F73" s="19" t="n"/>
      <c r="G73" s="19" t="n"/>
      <c r="H73" s="19" t="n"/>
      <c r="I73" s="21" t="n"/>
      <c r="J73" s="19" t="n"/>
      <c r="K73" s="21" t="n"/>
      <c r="L73" s="22">
        <f>IF(I73="","",MAX(0,I73-K73))</f>
        <v/>
      </c>
      <c r="M73" s="19" t="n"/>
      <c r="N73" s="18" t="n"/>
      <c r="O73" s="18" t="n"/>
      <c r="P73" s="23" t="n"/>
      <c r="Q73" s="18" t="n"/>
      <c r="R73" s="18" t="n"/>
      <c r="S73" s="18" t="n"/>
      <c r="T73" s="24">
        <f>IF(E73="","",E73-TODAY())</f>
        <v/>
      </c>
      <c r="U73" s="24">
        <f>IF(OR(M73="Paid",M73="Cancelled",E73=""),"",IF(E73&lt;TODAY(),"OVERDUE",IF(E73&lt;=TODAY()+'Setup &amp; Lists'!$M$7,"DUE SOON","")))</f>
        <v/>
      </c>
    </row>
    <row r="74">
      <c r="A74" s="18" t="n"/>
      <c r="B74" s="19" t="n"/>
      <c r="C74" s="19" t="n"/>
      <c r="D74" s="19" t="n"/>
      <c r="E74" s="20" t="n"/>
      <c r="F74" s="19" t="n"/>
      <c r="G74" s="19" t="n"/>
      <c r="H74" s="19" t="n"/>
      <c r="I74" s="21" t="n"/>
      <c r="J74" s="19" t="n"/>
      <c r="K74" s="21" t="n"/>
      <c r="L74" s="22">
        <f>IF(I74="","",MAX(0,I74-K74))</f>
        <v/>
      </c>
      <c r="M74" s="19" t="n"/>
      <c r="N74" s="18" t="n"/>
      <c r="O74" s="18" t="n"/>
      <c r="P74" s="23" t="n"/>
      <c r="Q74" s="18" t="n"/>
      <c r="R74" s="18" t="n"/>
      <c r="S74" s="18" t="n"/>
      <c r="T74" s="24">
        <f>IF(E74="","",E74-TODAY())</f>
        <v/>
      </c>
      <c r="U74" s="24">
        <f>IF(OR(M74="Paid",M74="Cancelled",E74=""),"",IF(E74&lt;TODAY(),"OVERDUE",IF(E74&lt;=TODAY()+'Setup &amp; Lists'!$M$7,"DUE SOON","")))</f>
        <v/>
      </c>
    </row>
    <row r="75">
      <c r="A75" s="18" t="n"/>
      <c r="B75" s="19" t="n"/>
      <c r="C75" s="19" t="n"/>
      <c r="D75" s="19" t="n"/>
      <c r="E75" s="20" t="n"/>
      <c r="F75" s="19" t="n"/>
      <c r="G75" s="19" t="n"/>
      <c r="H75" s="19" t="n"/>
      <c r="I75" s="21" t="n"/>
      <c r="J75" s="19" t="n"/>
      <c r="K75" s="21" t="n"/>
      <c r="L75" s="22">
        <f>IF(I75="","",MAX(0,I75-K75))</f>
        <v/>
      </c>
      <c r="M75" s="19" t="n"/>
      <c r="N75" s="18" t="n"/>
      <c r="O75" s="18" t="n"/>
      <c r="P75" s="23" t="n"/>
      <c r="Q75" s="18" t="n"/>
      <c r="R75" s="18" t="n"/>
      <c r="S75" s="18" t="n"/>
      <c r="T75" s="24">
        <f>IF(E75="","",E75-TODAY())</f>
        <v/>
      </c>
      <c r="U75" s="24">
        <f>IF(OR(M75="Paid",M75="Cancelled",E75=""),"",IF(E75&lt;TODAY(),"OVERDUE",IF(E75&lt;=TODAY()+'Setup &amp; Lists'!$M$7,"DUE SOON","")))</f>
        <v/>
      </c>
    </row>
    <row r="76">
      <c r="A76" s="18" t="n"/>
      <c r="B76" s="19" t="n"/>
      <c r="C76" s="19" t="n"/>
      <c r="D76" s="19" t="n"/>
      <c r="E76" s="20" t="n"/>
      <c r="F76" s="19" t="n"/>
      <c r="G76" s="19" t="n"/>
      <c r="H76" s="19" t="n"/>
      <c r="I76" s="21" t="n"/>
      <c r="J76" s="19" t="n"/>
      <c r="K76" s="21" t="n"/>
      <c r="L76" s="22">
        <f>IF(I76="","",MAX(0,I76-K76))</f>
        <v/>
      </c>
      <c r="M76" s="19" t="n"/>
      <c r="N76" s="18" t="n"/>
      <c r="O76" s="18" t="n"/>
      <c r="P76" s="23" t="n"/>
      <c r="Q76" s="18" t="n"/>
      <c r="R76" s="18" t="n"/>
      <c r="S76" s="18" t="n"/>
      <c r="T76" s="24">
        <f>IF(E76="","",E76-TODAY())</f>
        <v/>
      </c>
      <c r="U76" s="24">
        <f>IF(OR(M76="Paid",M76="Cancelled",E76=""),"",IF(E76&lt;TODAY(),"OVERDUE",IF(E76&lt;=TODAY()+'Setup &amp; Lists'!$M$7,"DUE SOON","")))</f>
        <v/>
      </c>
    </row>
    <row r="77">
      <c r="A77" s="18" t="n"/>
      <c r="B77" s="19" t="n"/>
      <c r="C77" s="19" t="n"/>
      <c r="D77" s="19" t="n"/>
      <c r="E77" s="20" t="n"/>
      <c r="F77" s="19" t="n"/>
      <c r="G77" s="19" t="n"/>
      <c r="H77" s="19" t="n"/>
      <c r="I77" s="21" t="n"/>
      <c r="J77" s="19" t="n"/>
      <c r="K77" s="21" t="n"/>
      <c r="L77" s="22">
        <f>IF(I77="","",MAX(0,I77-K77))</f>
        <v/>
      </c>
      <c r="M77" s="19" t="n"/>
      <c r="N77" s="18" t="n"/>
      <c r="O77" s="18" t="n"/>
      <c r="P77" s="23" t="n"/>
      <c r="Q77" s="18" t="n"/>
      <c r="R77" s="18" t="n"/>
      <c r="S77" s="18" t="n"/>
      <c r="T77" s="24">
        <f>IF(E77="","",E77-TODAY())</f>
        <v/>
      </c>
      <c r="U77" s="24">
        <f>IF(OR(M77="Paid",M77="Cancelled",E77=""),"",IF(E77&lt;TODAY(),"OVERDUE",IF(E77&lt;=TODAY()+'Setup &amp; Lists'!$M$7,"DUE SOON","")))</f>
        <v/>
      </c>
    </row>
    <row r="78">
      <c r="A78" s="18" t="n"/>
      <c r="B78" s="19" t="n"/>
      <c r="C78" s="19" t="n"/>
      <c r="D78" s="19" t="n"/>
      <c r="E78" s="20" t="n"/>
      <c r="F78" s="19" t="n"/>
      <c r="G78" s="19" t="n"/>
      <c r="H78" s="19" t="n"/>
      <c r="I78" s="21" t="n"/>
      <c r="J78" s="19" t="n"/>
      <c r="K78" s="21" t="n"/>
      <c r="L78" s="22">
        <f>IF(I78="","",MAX(0,I78-K78))</f>
        <v/>
      </c>
      <c r="M78" s="19" t="n"/>
      <c r="N78" s="18" t="n"/>
      <c r="O78" s="18" t="n"/>
      <c r="P78" s="23" t="n"/>
      <c r="Q78" s="18" t="n"/>
      <c r="R78" s="18" t="n"/>
      <c r="S78" s="18" t="n"/>
      <c r="T78" s="24">
        <f>IF(E78="","",E78-TODAY())</f>
        <v/>
      </c>
      <c r="U78" s="24">
        <f>IF(OR(M78="Paid",M78="Cancelled",E78=""),"",IF(E78&lt;TODAY(),"OVERDUE",IF(E78&lt;=TODAY()+'Setup &amp; Lists'!$M$7,"DUE SOON","")))</f>
        <v/>
      </c>
    </row>
    <row r="79">
      <c r="A79" s="18" t="n"/>
      <c r="B79" s="19" t="n"/>
      <c r="C79" s="19" t="n"/>
      <c r="D79" s="19" t="n"/>
      <c r="E79" s="20" t="n"/>
      <c r="F79" s="19" t="n"/>
      <c r="G79" s="19" t="n"/>
      <c r="H79" s="19" t="n"/>
      <c r="I79" s="21" t="n"/>
      <c r="J79" s="19" t="n"/>
      <c r="K79" s="21" t="n"/>
      <c r="L79" s="22">
        <f>IF(I79="","",MAX(0,I79-K79))</f>
        <v/>
      </c>
      <c r="M79" s="19" t="n"/>
      <c r="N79" s="18" t="n"/>
      <c r="O79" s="18" t="n"/>
      <c r="P79" s="23" t="n"/>
      <c r="Q79" s="18" t="n"/>
      <c r="R79" s="18" t="n"/>
      <c r="S79" s="18" t="n"/>
      <c r="T79" s="24">
        <f>IF(E79="","",E79-TODAY())</f>
        <v/>
      </c>
      <c r="U79" s="24">
        <f>IF(OR(M79="Paid",M79="Cancelled",E79=""),"",IF(E79&lt;TODAY(),"OVERDUE",IF(E79&lt;=TODAY()+'Setup &amp; Lists'!$M$7,"DUE SOON","")))</f>
        <v/>
      </c>
    </row>
    <row r="80">
      <c r="A80" s="18" t="n"/>
      <c r="B80" s="19" t="n"/>
      <c r="C80" s="19" t="n"/>
      <c r="D80" s="19" t="n"/>
      <c r="E80" s="20" t="n"/>
      <c r="F80" s="19" t="n"/>
      <c r="G80" s="19" t="n"/>
      <c r="H80" s="19" t="n"/>
      <c r="I80" s="21" t="n"/>
      <c r="J80" s="19" t="n"/>
      <c r="K80" s="21" t="n"/>
      <c r="L80" s="22">
        <f>IF(I80="","",MAX(0,I80-K80))</f>
        <v/>
      </c>
      <c r="M80" s="19" t="n"/>
      <c r="N80" s="18" t="n"/>
      <c r="O80" s="18" t="n"/>
      <c r="P80" s="23" t="n"/>
      <c r="Q80" s="18" t="n"/>
      <c r="R80" s="18" t="n"/>
      <c r="S80" s="18" t="n"/>
      <c r="T80" s="24">
        <f>IF(E80="","",E80-TODAY())</f>
        <v/>
      </c>
      <c r="U80" s="24">
        <f>IF(OR(M80="Paid",M80="Cancelled",E80=""),"",IF(E80&lt;TODAY(),"OVERDUE",IF(E80&lt;=TODAY()+'Setup &amp; Lists'!$M$7,"DUE SOON","")))</f>
        <v/>
      </c>
    </row>
    <row r="81">
      <c r="A81" s="18" t="n"/>
      <c r="B81" s="19" t="n"/>
      <c r="C81" s="19" t="n"/>
      <c r="D81" s="19" t="n"/>
      <c r="E81" s="20" t="n"/>
      <c r="F81" s="19" t="n"/>
      <c r="G81" s="19" t="n"/>
      <c r="H81" s="19" t="n"/>
      <c r="I81" s="21" t="n"/>
      <c r="J81" s="19" t="n"/>
      <c r="K81" s="21" t="n"/>
      <c r="L81" s="22">
        <f>IF(I81="","",MAX(0,I81-K81))</f>
        <v/>
      </c>
      <c r="M81" s="19" t="n"/>
      <c r="N81" s="18" t="n"/>
      <c r="O81" s="18" t="n"/>
      <c r="P81" s="23" t="n"/>
      <c r="Q81" s="18" t="n"/>
      <c r="R81" s="18" t="n"/>
      <c r="S81" s="18" t="n"/>
      <c r="T81" s="24">
        <f>IF(E81="","",E81-TODAY())</f>
        <v/>
      </c>
      <c r="U81" s="24">
        <f>IF(OR(M81="Paid",M81="Cancelled",E81=""),"",IF(E81&lt;TODAY(),"OVERDUE",IF(E81&lt;=TODAY()+'Setup &amp; Lists'!$M$7,"DUE SOON","")))</f>
        <v/>
      </c>
    </row>
    <row r="82">
      <c r="A82" s="18" t="n"/>
      <c r="B82" s="19" t="n"/>
      <c r="C82" s="19" t="n"/>
      <c r="D82" s="19" t="n"/>
      <c r="E82" s="20" t="n"/>
      <c r="F82" s="19" t="n"/>
      <c r="G82" s="19" t="n"/>
      <c r="H82" s="19" t="n"/>
      <c r="I82" s="21" t="n"/>
      <c r="J82" s="19" t="n"/>
      <c r="K82" s="21" t="n"/>
      <c r="L82" s="22">
        <f>IF(I82="","",MAX(0,I82-K82))</f>
        <v/>
      </c>
      <c r="M82" s="19" t="n"/>
      <c r="N82" s="18" t="n"/>
      <c r="O82" s="18" t="n"/>
      <c r="P82" s="23" t="n"/>
      <c r="Q82" s="18" t="n"/>
      <c r="R82" s="18" t="n"/>
      <c r="S82" s="18" t="n"/>
      <c r="T82" s="24">
        <f>IF(E82="","",E82-TODAY())</f>
        <v/>
      </c>
      <c r="U82" s="24">
        <f>IF(OR(M82="Paid",M82="Cancelled",E82=""),"",IF(E82&lt;TODAY(),"OVERDUE",IF(E82&lt;=TODAY()+'Setup &amp; Lists'!$M$7,"DUE SOON","")))</f>
        <v/>
      </c>
    </row>
    <row r="83">
      <c r="A83" s="18" t="n"/>
      <c r="B83" s="19" t="n"/>
      <c r="C83" s="19" t="n"/>
      <c r="D83" s="19" t="n"/>
      <c r="E83" s="20" t="n"/>
      <c r="F83" s="19" t="n"/>
      <c r="G83" s="19" t="n"/>
      <c r="H83" s="19" t="n"/>
      <c r="I83" s="21" t="n"/>
      <c r="J83" s="19" t="n"/>
      <c r="K83" s="21" t="n"/>
      <c r="L83" s="22">
        <f>IF(I83="","",MAX(0,I83-K83))</f>
        <v/>
      </c>
      <c r="M83" s="19" t="n"/>
      <c r="N83" s="18" t="n"/>
      <c r="O83" s="18" t="n"/>
      <c r="P83" s="23" t="n"/>
      <c r="Q83" s="18" t="n"/>
      <c r="R83" s="18" t="n"/>
      <c r="S83" s="18" t="n"/>
      <c r="T83" s="24">
        <f>IF(E83="","",E83-TODAY())</f>
        <v/>
      </c>
      <c r="U83" s="24">
        <f>IF(OR(M83="Paid",M83="Cancelled",E83=""),"",IF(E83&lt;TODAY(),"OVERDUE",IF(E83&lt;=TODAY()+'Setup &amp; Lists'!$M$7,"DUE SOON","")))</f>
        <v/>
      </c>
    </row>
    <row r="84">
      <c r="A84" s="18" t="n"/>
      <c r="B84" s="19" t="n"/>
      <c r="C84" s="19" t="n"/>
      <c r="D84" s="19" t="n"/>
      <c r="E84" s="20" t="n"/>
      <c r="F84" s="19" t="n"/>
      <c r="G84" s="19" t="n"/>
      <c r="H84" s="19" t="n"/>
      <c r="I84" s="21" t="n"/>
      <c r="J84" s="19" t="n"/>
      <c r="K84" s="21" t="n"/>
      <c r="L84" s="22">
        <f>IF(I84="","",MAX(0,I84-K84))</f>
        <v/>
      </c>
      <c r="M84" s="19" t="n"/>
      <c r="N84" s="18" t="n"/>
      <c r="O84" s="18" t="n"/>
      <c r="P84" s="23" t="n"/>
      <c r="Q84" s="18" t="n"/>
      <c r="R84" s="18" t="n"/>
      <c r="S84" s="18" t="n"/>
      <c r="T84" s="24">
        <f>IF(E84="","",E84-TODAY())</f>
        <v/>
      </c>
      <c r="U84" s="24">
        <f>IF(OR(M84="Paid",M84="Cancelled",E84=""),"",IF(E84&lt;TODAY(),"OVERDUE",IF(E84&lt;=TODAY()+'Setup &amp; Lists'!$M$7,"DUE SOON","")))</f>
        <v/>
      </c>
    </row>
    <row r="85">
      <c r="A85" s="18" t="n"/>
      <c r="B85" s="19" t="n"/>
      <c r="C85" s="19" t="n"/>
      <c r="D85" s="19" t="n"/>
      <c r="E85" s="20" t="n"/>
      <c r="F85" s="19" t="n"/>
      <c r="G85" s="19" t="n"/>
      <c r="H85" s="19" t="n"/>
      <c r="I85" s="21" t="n"/>
      <c r="J85" s="19" t="n"/>
      <c r="K85" s="21" t="n"/>
      <c r="L85" s="22">
        <f>IF(I85="","",MAX(0,I85-K85))</f>
        <v/>
      </c>
      <c r="M85" s="19" t="n"/>
      <c r="N85" s="18" t="n"/>
      <c r="O85" s="18" t="n"/>
      <c r="P85" s="23" t="n"/>
      <c r="Q85" s="18" t="n"/>
      <c r="R85" s="18" t="n"/>
      <c r="S85" s="18" t="n"/>
      <c r="T85" s="24">
        <f>IF(E85="","",E85-TODAY())</f>
        <v/>
      </c>
      <c r="U85" s="24">
        <f>IF(OR(M85="Paid",M85="Cancelled",E85=""),"",IF(E85&lt;TODAY(),"OVERDUE",IF(E85&lt;=TODAY()+'Setup &amp; Lists'!$M$7,"DUE SOON","")))</f>
        <v/>
      </c>
    </row>
    <row r="86">
      <c r="A86" s="18" t="n"/>
      <c r="B86" s="19" t="n"/>
      <c r="C86" s="19" t="n"/>
      <c r="D86" s="19" t="n"/>
      <c r="E86" s="20" t="n"/>
      <c r="F86" s="19" t="n"/>
      <c r="G86" s="19" t="n"/>
      <c r="H86" s="19" t="n"/>
      <c r="I86" s="21" t="n"/>
      <c r="J86" s="19" t="n"/>
      <c r="K86" s="21" t="n"/>
      <c r="L86" s="22">
        <f>IF(I86="","",MAX(0,I86-K86))</f>
        <v/>
      </c>
      <c r="M86" s="19" t="n"/>
      <c r="N86" s="18" t="n"/>
      <c r="O86" s="18" t="n"/>
      <c r="P86" s="23" t="n"/>
      <c r="Q86" s="18" t="n"/>
      <c r="R86" s="18" t="n"/>
      <c r="S86" s="18" t="n"/>
      <c r="T86" s="24">
        <f>IF(E86="","",E86-TODAY())</f>
        <v/>
      </c>
      <c r="U86" s="24">
        <f>IF(OR(M86="Paid",M86="Cancelled",E86=""),"",IF(E86&lt;TODAY(),"OVERDUE",IF(E86&lt;=TODAY()+'Setup &amp; Lists'!$M$7,"DUE SOON","")))</f>
        <v/>
      </c>
    </row>
    <row r="87">
      <c r="A87" s="18" t="n"/>
      <c r="B87" s="19" t="n"/>
      <c r="C87" s="19" t="n"/>
      <c r="D87" s="19" t="n"/>
      <c r="E87" s="20" t="n"/>
      <c r="F87" s="19" t="n"/>
      <c r="G87" s="19" t="n"/>
      <c r="H87" s="19" t="n"/>
      <c r="I87" s="21" t="n"/>
      <c r="J87" s="19" t="n"/>
      <c r="K87" s="21" t="n"/>
      <c r="L87" s="22">
        <f>IF(I87="","",MAX(0,I87-K87))</f>
        <v/>
      </c>
      <c r="M87" s="19" t="n"/>
      <c r="N87" s="18" t="n"/>
      <c r="O87" s="18" t="n"/>
      <c r="P87" s="23" t="n"/>
      <c r="Q87" s="18" t="n"/>
      <c r="R87" s="18" t="n"/>
      <c r="S87" s="18" t="n"/>
      <c r="T87" s="24">
        <f>IF(E87="","",E87-TODAY())</f>
        <v/>
      </c>
      <c r="U87" s="24">
        <f>IF(OR(M87="Paid",M87="Cancelled",E87=""),"",IF(E87&lt;TODAY(),"OVERDUE",IF(E87&lt;=TODAY()+'Setup &amp; Lists'!$M$7,"DUE SOON","")))</f>
        <v/>
      </c>
    </row>
    <row r="88">
      <c r="A88" s="18" t="n"/>
      <c r="B88" s="19" t="n"/>
      <c r="C88" s="19" t="n"/>
      <c r="D88" s="19" t="n"/>
      <c r="E88" s="20" t="n"/>
      <c r="F88" s="19" t="n"/>
      <c r="G88" s="19" t="n"/>
      <c r="H88" s="19" t="n"/>
      <c r="I88" s="21" t="n"/>
      <c r="J88" s="19" t="n"/>
      <c r="K88" s="21" t="n"/>
      <c r="L88" s="22">
        <f>IF(I88="","",MAX(0,I88-K88))</f>
        <v/>
      </c>
      <c r="M88" s="19" t="n"/>
      <c r="N88" s="18" t="n"/>
      <c r="O88" s="18" t="n"/>
      <c r="P88" s="23" t="n"/>
      <c r="Q88" s="18" t="n"/>
      <c r="R88" s="18" t="n"/>
      <c r="S88" s="18" t="n"/>
      <c r="T88" s="24">
        <f>IF(E88="","",E88-TODAY())</f>
        <v/>
      </c>
      <c r="U88" s="24">
        <f>IF(OR(M88="Paid",M88="Cancelled",E88=""),"",IF(E88&lt;TODAY(),"OVERDUE",IF(E88&lt;=TODAY()+'Setup &amp; Lists'!$M$7,"DUE SOON","")))</f>
        <v/>
      </c>
    </row>
    <row r="89">
      <c r="A89" s="18" t="n"/>
      <c r="B89" s="19" t="n"/>
      <c r="C89" s="19" t="n"/>
      <c r="D89" s="19" t="n"/>
      <c r="E89" s="20" t="n"/>
      <c r="F89" s="19" t="n"/>
      <c r="G89" s="19" t="n"/>
      <c r="H89" s="19" t="n"/>
      <c r="I89" s="21" t="n"/>
      <c r="J89" s="19" t="n"/>
      <c r="K89" s="21" t="n"/>
      <c r="L89" s="22">
        <f>IF(I89="","",MAX(0,I89-K89))</f>
        <v/>
      </c>
      <c r="M89" s="19" t="n"/>
      <c r="N89" s="18" t="n"/>
      <c r="O89" s="18" t="n"/>
      <c r="P89" s="23" t="n"/>
      <c r="Q89" s="18" t="n"/>
      <c r="R89" s="18" t="n"/>
      <c r="S89" s="18" t="n"/>
      <c r="T89" s="24">
        <f>IF(E89="","",E89-TODAY())</f>
        <v/>
      </c>
      <c r="U89" s="24">
        <f>IF(OR(M89="Paid",M89="Cancelled",E89=""),"",IF(E89&lt;TODAY(),"OVERDUE",IF(E89&lt;=TODAY()+'Setup &amp; Lists'!$M$7,"DUE SOON","")))</f>
        <v/>
      </c>
    </row>
    <row r="90">
      <c r="A90" s="18" t="n"/>
      <c r="B90" s="19" t="n"/>
      <c r="C90" s="19" t="n"/>
      <c r="D90" s="19" t="n"/>
      <c r="E90" s="20" t="n"/>
      <c r="F90" s="19" t="n"/>
      <c r="G90" s="19" t="n"/>
      <c r="H90" s="19" t="n"/>
      <c r="I90" s="21" t="n"/>
      <c r="J90" s="19" t="n"/>
      <c r="K90" s="21" t="n"/>
      <c r="L90" s="22">
        <f>IF(I90="","",MAX(0,I90-K90))</f>
        <v/>
      </c>
      <c r="M90" s="19" t="n"/>
      <c r="N90" s="18" t="n"/>
      <c r="O90" s="18" t="n"/>
      <c r="P90" s="23" t="n"/>
      <c r="Q90" s="18" t="n"/>
      <c r="R90" s="18" t="n"/>
      <c r="S90" s="18" t="n"/>
      <c r="T90" s="24">
        <f>IF(E90="","",E90-TODAY())</f>
        <v/>
      </c>
      <c r="U90" s="24">
        <f>IF(OR(M90="Paid",M90="Cancelled",E90=""),"",IF(E90&lt;TODAY(),"OVERDUE",IF(E90&lt;=TODAY()+'Setup &amp; Lists'!$M$7,"DUE SOON","")))</f>
        <v/>
      </c>
    </row>
    <row r="91">
      <c r="A91" s="18" t="n"/>
      <c r="B91" s="19" t="n"/>
      <c r="C91" s="19" t="n"/>
      <c r="D91" s="19" t="n"/>
      <c r="E91" s="20" t="n"/>
      <c r="F91" s="19" t="n"/>
      <c r="G91" s="19" t="n"/>
      <c r="H91" s="19" t="n"/>
      <c r="I91" s="21" t="n"/>
      <c r="J91" s="19" t="n"/>
      <c r="K91" s="21" t="n"/>
      <c r="L91" s="22">
        <f>IF(I91="","",MAX(0,I91-K91))</f>
        <v/>
      </c>
      <c r="M91" s="19" t="n"/>
      <c r="N91" s="18" t="n"/>
      <c r="O91" s="18" t="n"/>
      <c r="P91" s="23" t="n"/>
      <c r="Q91" s="18" t="n"/>
      <c r="R91" s="18" t="n"/>
      <c r="S91" s="18" t="n"/>
      <c r="T91" s="24">
        <f>IF(E91="","",E91-TODAY())</f>
        <v/>
      </c>
      <c r="U91" s="24">
        <f>IF(OR(M91="Paid",M91="Cancelled",E91=""),"",IF(E91&lt;TODAY(),"OVERDUE",IF(E91&lt;=TODAY()+'Setup &amp; Lists'!$M$7,"DUE SOON","")))</f>
        <v/>
      </c>
    </row>
    <row r="92">
      <c r="A92" s="18" t="n"/>
      <c r="B92" s="19" t="n"/>
      <c r="C92" s="19" t="n"/>
      <c r="D92" s="19" t="n"/>
      <c r="E92" s="20" t="n"/>
      <c r="F92" s="19" t="n"/>
      <c r="G92" s="19" t="n"/>
      <c r="H92" s="19" t="n"/>
      <c r="I92" s="21" t="n"/>
      <c r="J92" s="19" t="n"/>
      <c r="K92" s="21" t="n"/>
      <c r="L92" s="22">
        <f>IF(I92="","",MAX(0,I92-K92))</f>
        <v/>
      </c>
      <c r="M92" s="19" t="n"/>
      <c r="N92" s="18" t="n"/>
      <c r="O92" s="18" t="n"/>
      <c r="P92" s="23" t="n"/>
      <c r="Q92" s="18" t="n"/>
      <c r="R92" s="18" t="n"/>
      <c r="S92" s="18" t="n"/>
      <c r="T92" s="24">
        <f>IF(E92="","",E92-TODAY())</f>
        <v/>
      </c>
      <c r="U92" s="24">
        <f>IF(OR(M92="Paid",M92="Cancelled",E92=""),"",IF(E92&lt;TODAY(),"OVERDUE",IF(E92&lt;=TODAY()+'Setup &amp; Lists'!$M$7,"DUE SOON","")))</f>
        <v/>
      </c>
    </row>
    <row r="93">
      <c r="A93" s="18" t="n"/>
      <c r="B93" s="19" t="n"/>
      <c r="C93" s="19" t="n"/>
      <c r="D93" s="19" t="n"/>
      <c r="E93" s="20" t="n"/>
      <c r="F93" s="19" t="n"/>
      <c r="G93" s="19" t="n"/>
      <c r="H93" s="19" t="n"/>
      <c r="I93" s="21" t="n"/>
      <c r="J93" s="19" t="n"/>
      <c r="K93" s="21" t="n"/>
      <c r="L93" s="22">
        <f>IF(I93="","",MAX(0,I93-K93))</f>
        <v/>
      </c>
      <c r="M93" s="19" t="n"/>
      <c r="N93" s="18" t="n"/>
      <c r="O93" s="18" t="n"/>
      <c r="P93" s="23" t="n"/>
      <c r="Q93" s="18" t="n"/>
      <c r="R93" s="18" t="n"/>
      <c r="S93" s="18" t="n"/>
      <c r="T93" s="24">
        <f>IF(E93="","",E93-TODAY())</f>
        <v/>
      </c>
      <c r="U93" s="24">
        <f>IF(OR(M93="Paid",M93="Cancelled",E93=""),"",IF(E93&lt;TODAY(),"OVERDUE",IF(E93&lt;=TODAY()+'Setup &amp; Lists'!$M$7,"DUE SOON","")))</f>
        <v/>
      </c>
    </row>
    <row r="94">
      <c r="A94" s="18" t="n"/>
      <c r="B94" s="19" t="n"/>
      <c r="C94" s="19" t="n"/>
      <c r="D94" s="19" t="n"/>
      <c r="E94" s="20" t="n"/>
      <c r="F94" s="19" t="n"/>
      <c r="G94" s="19" t="n"/>
      <c r="H94" s="19" t="n"/>
      <c r="I94" s="21" t="n"/>
      <c r="J94" s="19" t="n"/>
      <c r="K94" s="21" t="n"/>
      <c r="L94" s="22">
        <f>IF(I94="","",MAX(0,I94-K94))</f>
        <v/>
      </c>
      <c r="M94" s="19" t="n"/>
      <c r="N94" s="18" t="n"/>
      <c r="O94" s="18" t="n"/>
      <c r="P94" s="23" t="n"/>
      <c r="Q94" s="18" t="n"/>
      <c r="R94" s="18" t="n"/>
      <c r="S94" s="18" t="n"/>
      <c r="T94" s="24">
        <f>IF(E94="","",E94-TODAY())</f>
        <v/>
      </c>
      <c r="U94" s="24">
        <f>IF(OR(M94="Paid",M94="Cancelled",E94=""),"",IF(E94&lt;TODAY(),"OVERDUE",IF(E94&lt;=TODAY()+'Setup &amp; Lists'!$M$7,"DUE SOON","")))</f>
        <v/>
      </c>
    </row>
    <row r="95">
      <c r="A95" s="18" t="n"/>
      <c r="B95" s="19" t="n"/>
      <c r="C95" s="19" t="n"/>
      <c r="D95" s="19" t="n"/>
      <c r="E95" s="20" t="n"/>
      <c r="F95" s="19" t="n"/>
      <c r="G95" s="19" t="n"/>
      <c r="H95" s="19" t="n"/>
      <c r="I95" s="21" t="n"/>
      <c r="J95" s="19" t="n"/>
      <c r="K95" s="21" t="n"/>
      <c r="L95" s="22">
        <f>IF(I95="","",MAX(0,I95-K95))</f>
        <v/>
      </c>
      <c r="M95" s="19" t="n"/>
      <c r="N95" s="18" t="n"/>
      <c r="O95" s="18" t="n"/>
      <c r="P95" s="23" t="n"/>
      <c r="Q95" s="18" t="n"/>
      <c r="R95" s="18" t="n"/>
      <c r="S95" s="18" t="n"/>
      <c r="T95" s="24">
        <f>IF(E95="","",E95-TODAY())</f>
        <v/>
      </c>
      <c r="U95" s="24">
        <f>IF(OR(M95="Paid",M95="Cancelled",E95=""),"",IF(E95&lt;TODAY(),"OVERDUE",IF(E95&lt;=TODAY()+'Setup &amp; Lists'!$M$7,"DUE SOON","")))</f>
        <v/>
      </c>
    </row>
    <row r="96">
      <c r="A96" s="18" t="n"/>
      <c r="B96" s="19" t="n"/>
      <c r="C96" s="19" t="n"/>
      <c r="D96" s="19" t="n"/>
      <c r="E96" s="20" t="n"/>
      <c r="F96" s="19" t="n"/>
      <c r="G96" s="19" t="n"/>
      <c r="H96" s="19" t="n"/>
      <c r="I96" s="21" t="n"/>
      <c r="J96" s="19" t="n"/>
      <c r="K96" s="21" t="n"/>
      <c r="L96" s="22">
        <f>IF(I96="","",MAX(0,I96-K96))</f>
        <v/>
      </c>
      <c r="M96" s="19" t="n"/>
      <c r="N96" s="18" t="n"/>
      <c r="O96" s="18" t="n"/>
      <c r="P96" s="23" t="n"/>
      <c r="Q96" s="18" t="n"/>
      <c r="R96" s="18" t="n"/>
      <c r="S96" s="18" t="n"/>
      <c r="T96" s="24">
        <f>IF(E96="","",E96-TODAY())</f>
        <v/>
      </c>
      <c r="U96" s="24">
        <f>IF(OR(M96="Paid",M96="Cancelled",E96=""),"",IF(E96&lt;TODAY(),"OVERDUE",IF(E96&lt;=TODAY()+'Setup &amp; Lists'!$M$7,"DUE SOON","")))</f>
        <v/>
      </c>
    </row>
    <row r="97">
      <c r="A97" s="18" t="n"/>
      <c r="B97" s="19" t="n"/>
      <c r="C97" s="19" t="n"/>
      <c r="D97" s="19" t="n"/>
      <c r="E97" s="20" t="n"/>
      <c r="F97" s="19" t="n"/>
      <c r="G97" s="19" t="n"/>
      <c r="H97" s="19" t="n"/>
      <c r="I97" s="21" t="n"/>
      <c r="J97" s="19" t="n"/>
      <c r="K97" s="21" t="n"/>
      <c r="L97" s="22">
        <f>IF(I97="","",MAX(0,I97-K97))</f>
        <v/>
      </c>
      <c r="M97" s="19" t="n"/>
      <c r="N97" s="18" t="n"/>
      <c r="O97" s="18" t="n"/>
      <c r="P97" s="23" t="n"/>
      <c r="Q97" s="18" t="n"/>
      <c r="R97" s="18" t="n"/>
      <c r="S97" s="18" t="n"/>
      <c r="T97" s="24">
        <f>IF(E97="","",E97-TODAY())</f>
        <v/>
      </c>
      <c r="U97" s="24">
        <f>IF(OR(M97="Paid",M97="Cancelled",E97=""),"",IF(E97&lt;TODAY(),"OVERDUE",IF(E97&lt;=TODAY()+'Setup &amp; Lists'!$M$7,"DUE SOON","")))</f>
        <v/>
      </c>
    </row>
    <row r="98">
      <c r="A98" s="18" t="n"/>
      <c r="B98" s="19" t="n"/>
      <c r="C98" s="19" t="n"/>
      <c r="D98" s="19" t="n"/>
      <c r="E98" s="20" t="n"/>
      <c r="F98" s="19" t="n"/>
      <c r="G98" s="19" t="n"/>
      <c r="H98" s="19" t="n"/>
      <c r="I98" s="21" t="n"/>
      <c r="J98" s="19" t="n"/>
      <c r="K98" s="21" t="n"/>
      <c r="L98" s="22">
        <f>IF(I98="","",MAX(0,I98-K98))</f>
        <v/>
      </c>
      <c r="M98" s="19" t="n"/>
      <c r="N98" s="18" t="n"/>
      <c r="O98" s="18" t="n"/>
      <c r="P98" s="23" t="n"/>
      <c r="Q98" s="18" t="n"/>
      <c r="R98" s="18" t="n"/>
      <c r="S98" s="18" t="n"/>
      <c r="T98" s="24">
        <f>IF(E98="","",E98-TODAY())</f>
        <v/>
      </c>
      <c r="U98" s="24">
        <f>IF(OR(M98="Paid",M98="Cancelled",E98=""),"",IF(E98&lt;TODAY(),"OVERDUE",IF(E98&lt;=TODAY()+'Setup &amp; Lists'!$M$7,"DUE SOON","")))</f>
        <v/>
      </c>
    </row>
    <row r="99">
      <c r="A99" s="18" t="n"/>
      <c r="B99" s="19" t="n"/>
      <c r="C99" s="19" t="n"/>
      <c r="D99" s="19" t="n"/>
      <c r="E99" s="20" t="n"/>
      <c r="F99" s="19" t="n"/>
      <c r="G99" s="19" t="n"/>
      <c r="H99" s="19" t="n"/>
      <c r="I99" s="21" t="n"/>
      <c r="J99" s="19" t="n"/>
      <c r="K99" s="21" t="n"/>
      <c r="L99" s="22">
        <f>IF(I99="","",MAX(0,I99-K99))</f>
        <v/>
      </c>
      <c r="M99" s="19" t="n"/>
      <c r="N99" s="18" t="n"/>
      <c r="O99" s="18" t="n"/>
      <c r="P99" s="23" t="n"/>
      <c r="Q99" s="18" t="n"/>
      <c r="R99" s="18" t="n"/>
      <c r="S99" s="18" t="n"/>
      <c r="T99" s="24">
        <f>IF(E99="","",E99-TODAY())</f>
        <v/>
      </c>
      <c r="U99" s="24">
        <f>IF(OR(M99="Paid",M99="Cancelled",E99=""),"",IF(E99&lt;TODAY(),"OVERDUE",IF(E99&lt;=TODAY()+'Setup &amp; Lists'!$M$7,"DUE SOON","")))</f>
        <v/>
      </c>
    </row>
    <row r="100">
      <c r="A100" s="18" t="n"/>
      <c r="B100" s="19" t="n"/>
      <c r="C100" s="19" t="n"/>
      <c r="D100" s="19" t="n"/>
      <c r="E100" s="20" t="n"/>
      <c r="F100" s="19" t="n"/>
      <c r="G100" s="19" t="n"/>
      <c r="H100" s="19" t="n"/>
      <c r="I100" s="21" t="n"/>
      <c r="J100" s="19" t="n"/>
      <c r="K100" s="21" t="n"/>
      <c r="L100" s="22">
        <f>IF(I100="","",MAX(0,I100-K100))</f>
        <v/>
      </c>
      <c r="M100" s="19" t="n"/>
      <c r="N100" s="18" t="n"/>
      <c r="O100" s="18" t="n"/>
      <c r="P100" s="23" t="n"/>
      <c r="Q100" s="18" t="n"/>
      <c r="R100" s="18" t="n"/>
      <c r="S100" s="18" t="n"/>
      <c r="T100" s="24">
        <f>IF(E100="","",E100-TODAY())</f>
        <v/>
      </c>
      <c r="U100" s="24">
        <f>IF(OR(M100="Paid",M100="Cancelled",E100=""),"",IF(E100&lt;TODAY(),"OVERDUE",IF(E100&lt;=TODAY()+'Setup &amp; Lists'!$M$7,"DUE SOON","")))</f>
        <v/>
      </c>
    </row>
    <row r="101">
      <c r="A101" s="18" t="n"/>
      <c r="B101" s="19" t="n"/>
      <c r="C101" s="19" t="n"/>
      <c r="D101" s="19" t="n"/>
      <c r="E101" s="20" t="n"/>
      <c r="F101" s="19" t="n"/>
      <c r="G101" s="19" t="n"/>
      <c r="H101" s="19" t="n"/>
      <c r="I101" s="21" t="n"/>
      <c r="J101" s="19" t="n"/>
      <c r="K101" s="21" t="n"/>
      <c r="L101" s="22">
        <f>IF(I101="","",MAX(0,I101-K101))</f>
        <v/>
      </c>
      <c r="M101" s="19" t="n"/>
      <c r="N101" s="18" t="n"/>
      <c r="O101" s="18" t="n"/>
      <c r="P101" s="23" t="n"/>
      <c r="Q101" s="18" t="n"/>
      <c r="R101" s="18" t="n"/>
      <c r="S101" s="18" t="n"/>
      <c r="T101" s="24">
        <f>IF(E101="","",E101-TODAY())</f>
        <v/>
      </c>
      <c r="U101" s="24">
        <f>IF(OR(M101="Paid",M101="Cancelled",E101=""),"",IF(E101&lt;TODAY(),"OVERDUE",IF(E101&lt;=TODAY()+'Setup &amp; Lists'!$M$7,"DUE SOON","")))</f>
        <v/>
      </c>
    </row>
    <row r="102">
      <c r="A102" s="18" t="n"/>
      <c r="B102" s="19" t="n"/>
      <c r="C102" s="19" t="n"/>
      <c r="D102" s="19" t="n"/>
      <c r="E102" s="20" t="n"/>
      <c r="F102" s="19" t="n"/>
      <c r="G102" s="19" t="n"/>
      <c r="H102" s="19" t="n"/>
      <c r="I102" s="21" t="n"/>
      <c r="J102" s="19" t="n"/>
      <c r="K102" s="21" t="n"/>
      <c r="L102" s="22">
        <f>IF(I102="","",MAX(0,I102-K102))</f>
        <v/>
      </c>
      <c r="M102" s="19" t="n"/>
      <c r="N102" s="18" t="n"/>
      <c r="O102" s="18" t="n"/>
      <c r="P102" s="23" t="n"/>
      <c r="Q102" s="18" t="n"/>
      <c r="R102" s="18" t="n"/>
      <c r="S102" s="18" t="n"/>
      <c r="T102" s="24">
        <f>IF(E102="","",E102-TODAY())</f>
        <v/>
      </c>
      <c r="U102" s="24">
        <f>IF(OR(M102="Paid",M102="Cancelled",E102=""),"",IF(E102&lt;TODAY(),"OVERDUE",IF(E102&lt;=TODAY()+'Setup &amp; Lists'!$M$7,"DUE SOON","")))</f>
        <v/>
      </c>
    </row>
    <row r="103">
      <c r="A103" s="18" t="n"/>
      <c r="B103" s="19" t="n"/>
      <c r="C103" s="19" t="n"/>
      <c r="D103" s="19" t="n"/>
      <c r="E103" s="20" t="n"/>
      <c r="F103" s="19" t="n"/>
      <c r="G103" s="19" t="n"/>
      <c r="H103" s="19" t="n"/>
      <c r="I103" s="21" t="n"/>
      <c r="J103" s="19" t="n"/>
      <c r="K103" s="21" t="n"/>
      <c r="L103" s="22">
        <f>IF(I103="","",MAX(0,I103-K103))</f>
        <v/>
      </c>
      <c r="M103" s="19" t="n"/>
      <c r="N103" s="18" t="n"/>
      <c r="O103" s="18" t="n"/>
      <c r="P103" s="23" t="n"/>
      <c r="Q103" s="18" t="n"/>
      <c r="R103" s="18" t="n"/>
      <c r="S103" s="18" t="n"/>
      <c r="T103" s="24">
        <f>IF(E103="","",E103-TODAY())</f>
        <v/>
      </c>
      <c r="U103" s="24">
        <f>IF(OR(M103="Paid",M103="Cancelled",E103=""),"",IF(E103&lt;TODAY(),"OVERDUE",IF(E103&lt;=TODAY()+'Setup &amp; Lists'!$M$7,"DUE SOON","")))</f>
        <v/>
      </c>
    </row>
    <row r="104">
      <c r="A104" s="18" t="n"/>
      <c r="B104" s="19" t="n"/>
      <c r="C104" s="19" t="n"/>
      <c r="D104" s="19" t="n"/>
      <c r="E104" s="20" t="n"/>
      <c r="F104" s="19" t="n"/>
      <c r="G104" s="19" t="n"/>
      <c r="H104" s="19" t="n"/>
      <c r="I104" s="21" t="n"/>
      <c r="J104" s="19" t="n"/>
      <c r="K104" s="21" t="n"/>
      <c r="L104" s="22">
        <f>IF(I104="","",MAX(0,I104-K104))</f>
        <v/>
      </c>
      <c r="M104" s="19" t="n"/>
      <c r="N104" s="18" t="n"/>
      <c r="O104" s="18" t="n"/>
      <c r="P104" s="23" t="n"/>
      <c r="Q104" s="18" t="n"/>
      <c r="R104" s="18" t="n"/>
      <c r="S104" s="18" t="n"/>
      <c r="T104" s="24">
        <f>IF(E104="","",E104-TODAY())</f>
        <v/>
      </c>
      <c r="U104" s="24">
        <f>IF(OR(M104="Paid",M104="Cancelled",E104=""),"",IF(E104&lt;TODAY(),"OVERDUE",IF(E104&lt;=TODAY()+'Setup &amp; Lists'!$M$7,"DUE SOON","")))</f>
        <v/>
      </c>
    </row>
    <row r="105">
      <c r="A105" s="18" t="n"/>
      <c r="B105" s="19" t="n"/>
      <c r="C105" s="19" t="n"/>
      <c r="D105" s="19" t="n"/>
      <c r="E105" s="20" t="n"/>
      <c r="F105" s="19" t="n"/>
      <c r="G105" s="19" t="n"/>
      <c r="H105" s="19" t="n"/>
      <c r="I105" s="21" t="n"/>
      <c r="J105" s="19" t="n"/>
      <c r="K105" s="21" t="n"/>
      <c r="L105" s="22">
        <f>IF(I105="","",MAX(0,I105-K105))</f>
        <v/>
      </c>
      <c r="M105" s="19" t="n"/>
      <c r="N105" s="18" t="n"/>
      <c r="O105" s="18" t="n"/>
      <c r="P105" s="23" t="n"/>
      <c r="Q105" s="18" t="n"/>
      <c r="R105" s="18" t="n"/>
      <c r="S105" s="18" t="n"/>
      <c r="T105" s="24">
        <f>IF(E105="","",E105-TODAY())</f>
        <v/>
      </c>
      <c r="U105" s="24">
        <f>IF(OR(M105="Paid",M105="Cancelled",E105=""),"",IF(E105&lt;TODAY(),"OVERDUE",IF(E105&lt;=TODAY()+'Setup &amp; Lists'!$M$7,"DUE SOON","")))</f>
        <v/>
      </c>
    </row>
    <row r="106">
      <c r="A106" s="18" t="n"/>
      <c r="B106" s="19" t="n"/>
      <c r="C106" s="19" t="n"/>
      <c r="D106" s="19" t="n"/>
      <c r="E106" s="20" t="n"/>
      <c r="F106" s="19" t="n"/>
      <c r="G106" s="19" t="n"/>
      <c r="H106" s="19" t="n"/>
      <c r="I106" s="21" t="n"/>
      <c r="J106" s="19" t="n"/>
      <c r="K106" s="21" t="n"/>
      <c r="L106" s="22">
        <f>IF(I106="","",MAX(0,I106-K106))</f>
        <v/>
      </c>
      <c r="M106" s="19" t="n"/>
      <c r="N106" s="18" t="n"/>
      <c r="O106" s="18" t="n"/>
      <c r="P106" s="23" t="n"/>
      <c r="Q106" s="18" t="n"/>
      <c r="R106" s="18" t="n"/>
      <c r="S106" s="18" t="n"/>
      <c r="T106" s="24">
        <f>IF(E106="","",E106-TODAY())</f>
        <v/>
      </c>
      <c r="U106" s="24">
        <f>IF(OR(M106="Paid",M106="Cancelled",E106=""),"",IF(E106&lt;TODAY(),"OVERDUE",IF(E106&lt;=TODAY()+'Setup &amp; Lists'!$M$7,"DUE SOON","")))</f>
        <v/>
      </c>
    </row>
    <row r="107">
      <c r="A107" s="18" t="n"/>
      <c r="B107" s="19" t="n"/>
      <c r="C107" s="19" t="n"/>
      <c r="D107" s="19" t="n"/>
      <c r="E107" s="20" t="n"/>
      <c r="F107" s="19" t="n"/>
      <c r="G107" s="19" t="n"/>
      <c r="H107" s="19" t="n"/>
      <c r="I107" s="21" t="n"/>
      <c r="J107" s="19" t="n"/>
      <c r="K107" s="21" t="n"/>
      <c r="L107" s="22">
        <f>IF(I107="","",MAX(0,I107-K107))</f>
        <v/>
      </c>
      <c r="M107" s="19" t="n"/>
      <c r="N107" s="18" t="n"/>
      <c r="O107" s="18" t="n"/>
      <c r="P107" s="23" t="n"/>
      <c r="Q107" s="18" t="n"/>
      <c r="R107" s="18" t="n"/>
      <c r="S107" s="18" t="n"/>
      <c r="T107" s="24">
        <f>IF(E107="","",E107-TODAY())</f>
        <v/>
      </c>
      <c r="U107" s="24">
        <f>IF(OR(M107="Paid",M107="Cancelled",E107=""),"",IF(E107&lt;TODAY(),"OVERDUE",IF(E107&lt;=TODAY()+'Setup &amp; Lists'!$M$7,"DUE SOON","")))</f>
        <v/>
      </c>
    </row>
    <row r="108">
      <c r="A108" s="18" t="n"/>
      <c r="B108" s="19" t="n"/>
      <c r="C108" s="19" t="n"/>
      <c r="D108" s="19" t="n"/>
      <c r="E108" s="20" t="n"/>
      <c r="F108" s="19" t="n"/>
      <c r="G108" s="19" t="n"/>
      <c r="H108" s="19" t="n"/>
      <c r="I108" s="21" t="n"/>
      <c r="J108" s="19" t="n"/>
      <c r="K108" s="21" t="n"/>
      <c r="L108" s="22">
        <f>IF(I108="","",MAX(0,I108-K108))</f>
        <v/>
      </c>
      <c r="M108" s="19" t="n"/>
      <c r="N108" s="18" t="n"/>
      <c r="O108" s="18" t="n"/>
      <c r="P108" s="23" t="n"/>
      <c r="Q108" s="18" t="n"/>
      <c r="R108" s="18" t="n"/>
      <c r="S108" s="18" t="n"/>
      <c r="T108" s="24">
        <f>IF(E108="","",E108-TODAY())</f>
        <v/>
      </c>
      <c r="U108" s="24">
        <f>IF(OR(M108="Paid",M108="Cancelled",E108=""),"",IF(E108&lt;TODAY(),"OVERDUE",IF(E108&lt;=TODAY()+'Setup &amp; Lists'!$M$7,"DUE SOON","")))</f>
        <v/>
      </c>
    </row>
    <row r="109">
      <c r="A109" s="18" t="n"/>
      <c r="B109" s="19" t="n"/>
      <c r="C109" s="19" t="n"/>
      <c r="D109" s="19" t="n"/>
      <c r="E109" s="20" t="n"/>
      <c r="F109" s="19" t="n"/>
      <c r="G109" s="19" t="n"/>
      <c r="H109" s="19" t="n"/>
      <c r="I109" s="21" t="n"/>
      <c r="J109" s="19" t="n"/>
      <c r="K109" s="21" t="n"/>
      <c r="L109" s="22">
        <f>IF(I109="","",MAX(0,I109-K109))</f>
        <v/>
      </c>
      <c r="M109" s="19" t="n"/>
      <c r="N109" s="18" t="n"/>
      <c r="O109" s="18" t="n"/>
      <c r="P109" s="23" t="n"/>
      <c r="Q109" s="18" t="n"/>
      <c r="R109" s="18" t="n"/>
      <c r="S109" s="18" t="n"/>
      <c r="T109" s="24">
        <f>IF(E109="","",E109-TODAY())</f>
        <v/>
      </c>
      <c r="U109" s="24">
        <f>IF(OR(M109="Paid",M109="Cancelled",E109=""),"",IF(E109&lt;TODAY(),"OVERDUE",IF(E109&lt;=TODAY()+'Setup &amp; Lists'!$M$7,"DUE SOON","")))</f>
        <v/>
      </c>
    </row>
    <row r="110">
      <c r="A110" s="18" t="n"/>
      <c r="B110" s="19" t="n"/>
      <c r="C110" s="19" t="n"/>
      <c r="D110" s="19" t="n"/>
      <c r="E110" s="20" t="n"/>
      <c r="F110" s="19" t="n"/>
      <c r="G110" s="19" t="n"/>
      <c r="H110" s="19" t="n"/>
      <c r="I110" s="21" t="n"/>
      <c r="J110" s="19" t="n"/>
      <c r="K110" s="21" t="n"/>
      <c r="L110" s="22">
        <f>IF(I110="","",MAX(0,I110-K110))</f>
        <v/>
      </c>
      <c r="M110" s="19" t="n"/>
      <c r="N110" s="18" t="n"/>
      <c r="O110" s="18" t="n"/>
      <c r="P110" s="23" t="n"/>
      <c r="Q110" s="18" t="n"/>
      <c r="R110" s="18" t="n"/>
      <c r="S110" s="18" t="n"/>
      <c r="T110" s="24">
        <f>IF(E110="","",E110-TODAY())</f>
        <v/>
      </c>
      <c r="U110" s="24">
        <f>IF(OR(M110="Paid",M110="Cancelled",E110=""),"",IF(E110&lt;TODAY(),"OVERDUE",IF(E110&lt;=TODAY()+'Setup &amp; Lists'!$M$7,"DUE SOON","")))</f>
        <v/>
      </c>
    </row>
    <row r="111">
      <c r="A111" s="18" t="n"/>
      <c r="B111" s="19" t="n"/>
      <c r="C111" s="19" t="n"/>
      <c r="D111" s="19" t="n"/>
      <c r="E111" s="20" t="n"/>
      <c r="F111" s="19" t="n"/>
      <c r="G111" s="19" t="n"/>
      <c r="H111" s="19" t="n"/>
      <c r="I111" s="21" t="n"/>
      <c r="J111" s="19" t="n"/>
      <c r="K111" s="21" t="n"/>
      <c r="L111" s="22">
        <f>IF(I111="","",MAX(0,I111-K111))</f>
        <v/>
      </c>
      <c r="M111" s="19" t="n"/>
      <c r="N111" s="18" t="n"/>
      <c r="O111" s="18" t="n"/>
      <c r="P111" s="23" t="n"/>
      <c r="Q111" s="18" t="n"/>
      <c r="R111" s="18" t="n"/>
      <c r="S111" s="18" t="n"/>
      <c r="T111" s="24">
        <f>IF(E111="","",E111-TODAY())</f>
        <v/>
      </c>
      <c r="U111" s="24">
        <f>IF(OR(M111="Paid",M111="Cancelled",E111=""),"",IF(E111&lt;TODAY(),"OVERDUE",IF(E111&lt;=TODAY()+'Setup &amp; Lists'!$M$7,"DUE SOON","")))</f>
        <v/>
      </c>
    </row>
    <row r="112">
      <c r="A112" s="18" t="n"/>
      <c r="B112" s="19" t="n"/>
      <c r="C112" s="19" t="n"/>
      <c r="D112" s="19" t="n"/>
      <c r="E112" s="20" t="n"/>
      <c r="F112" s="19" t="n"/>
      <c r="G112" s="19" t="n"/>
      <c r="H112" s="19" t="n"/>
      <c r="I112" s="21" t="n"/>
      <c r="J112" s="19" t="n"/>
      <c r="K112" s="21" t="n"/>
      <c r="L112" s="22">
        <f>IF(I112="","",MAX(0,I112-K112))</f>
        <v/>
      </c>
      <c r="M112" s="19" t="n"/>
      <c r="N112" s="18" t="n"/>
      <c r="O112" s="18" t="n"/>
      <c r="P112" s="23" t="n"/>
      <c r="Q112" s="18" t="n"/>
      <c r="R112" s="18" t="n"/>
      <c r="S112" s="18" t="n"/>
      <c r="T112" s="24">
        <f>IF(E112="","",E112-TODAY())</f>
        <v/>
      </c>
      <c r="U112" s="24">
        <f>IF(OR(M112="Paid",M112="Cancelled",E112=""),"",IF(E112&lt;TODAY(),"OVERDUE",IF(E112&lt;=TODAY()+'Setup &amp; Lists'!$M$7,"DUE SOON","")))</f>
        <v/>
      </c>
    </row>
    <row r="113">
      <c r="A113" s="18" t="n"/>
      <c r="B113" s="19" t="n"/>
      <c r="C113" s="19" t="n"/>
      <c r="D113" s="19" t="n"/>
      <c r="E113" s="20" t="n"/>
      <c r="F113" s="19" t="n"/>
      <c r="G113" s="19" t="n"/>
      <c r="H113" s="19" t="n"/>
      <c r="I113" s="21" t="n"/>
      <c r="J113" s="19" t="n"/>
      <c r="K113" s="21" t="n"/>
      <c r="L113" s="22">
        <f>IF(I113="","",MAX(0,I113-K113))</f>
        <v/>
      </c>
      <c r="M113" s="19" t="n"/>
      <c r="N113" s="18" t="n"/>
      <c r="O113" s="18" t="n"/>
      <c r="P113" s="23" t="n"/>
      <c r="Q113" s="18" t="n"/>
      <c r="R113" s="18" t="n"/>
      <c r="S113" s="18" t="n"/>
      <c r="T113" s="24">
        <f>IF(E113="","",E113-TODAY())</f>
        <v/>
      </c>
      <c r="U113" s="24">
        <f>IF(OR(M113="Paid",M113="Cancelled",E113=""),"",IF(E113&lt;TODAY(),"OVERDUE",IF(E113&lt;=TODAY()+'Setup &amp; Lists'!$M$7,"DUE SOON","")))</f>
        <v/>
      </c>
    </row>
    <row r="114">
      <c r="A114" s="18" t="n"/>
      <c r="B114" s="19" t="n"/>
      <c r="C114" s="19" t="n"/>
      <c r="D114" s="19" t="n"/>
      <c r="E114" s="20" t="n"/>
      <c r="F114" s="19" t="n"/>
      <c r="G114" s="19" t="n"/>
      <c r="H114" s="19" t="n"/>
      <c r="I114" s="21" t="n"/>
      <c r="J114" s="19" t="n"/>
      <c r="K114" s="21" t="n"/>
      <c r="L114" s="22">
        <f>IF(I114="","",MAX(0,I114-K114))</f>
        <v/>
      </c>
      <c r="M114" s="19" t="n"/>
      <c r="N114" s="18" t="n"/>
      <c r="O114" s="18" t="n"/>
      <c r="P114" s="23" t="n"/>
      <c r="Q114" s="18" t="n"/>
      <c r="R114" s="18" t="n"/>
      <c r="S114" s="18" t="n"/>
      <c r="T114" s="24">
        <f>IF(E114="","",E114-TODAY())</f>
        <v/>
      </c>
      <c r="U114" s="24">
        <f>IF(OR(M114="Paid",M114="Cancelled",E114=""),"",IF(E114&lt;TODAY(),"OVERDUE",IF(E114&lt;=TODAY()+'Setup &amp; Lists'!$M$7,"DUE SOON","")))</f>
        <v/>
      </c>
    </row>
    <row r="115">
      <c r="A115" s="18" t="n"/>
      <c r="B115" s="19" t="n"/>
      <c r="C115" s="19" t="n"/>
      <c r="D115" s="19" t="n"/>
      <c r="E115" s="20" t="n"/>
      <c r="F115" s="19" t="n"/>
      <c r="G115" s="19" t="n"/>
      <c r="H115" s="19" t="n"/>
      <c r="I115" s="21" t="n"/>
      <c r="J115" s="19" t="n"/>
      <c r="K115" s="21" t="n"/>
      <c r="L115" s="22">
        <f>IF(I115="","",MAX(0,I115-K115))</f>
        <v/>
      </c>
      <c r="M115" s="19" t="n"/>
      <c r="N115" s="18" t="n"/>
      <c r="O115" s="18" t="n"/>
      <c r="P115" s="23" t="n"/>
      <c r="Q115" s="18" t="n"/>
      <c r="R115" s="18" t="n"/>
      <c r="S115" s="18" t="n"/>
      <c r="T115" s="24">
        <f>IF(E115="","",E115-TODAY())</f>
        <v/>
      </c>
      <c r="U115" s="24">
        <f>IF(OR(M115="Paid",M115="Cancelled",E115=""),"",IF(E115&lt;TODAY(),"OVERDUE",IF(E115&lt;=TODAY()+'Setup &amp; Lists'!$M$7,"DUE SOON","")))</f>
        <v/>
      </c>
    </row>
    <row r="116">
      <c r="A116" s="18" t="n"/>
      <c r="B116" s="19" t="n"/>
      <c r="C116" s="19" t="n"/>
      <c r="D116" s="19" t="n"/>
      <c r="E116" s="20" t="n"/>
      <c r="F116" s="19" t="n"/>
      <c r="G116" s="19" t="n"/>
      <c r="H116" s="19" t="n"/>
      <c r="I116" s="21" t="n"/>
      <c r="J116" s="19" t="n"/>
      <c r="K116" s="21" t="n"/>
      <c r="L116" s="22">
        <f>IF(I116="","",MAX(0,I116-K116))</f>
        <v/>
      </c>
      <c r="M116" s="19" t="n"/>
      <c r="N116" s="18" t="n"/>
      <c r="O116" s="18" t="n"/>
      <c r="P116" s="23" t="n"/>
      <c r="Q116" s="18" t="n"/>
      <c r="R116" s="18" t="n"/>
      <c r="S116" s="18" t="n"/>
      <c r="T116" s="24">
        <f>IF(E116="","",E116-TODAY())</f>
        <v/>
      </c>
      <c r="U116" s="24">
        <f>IF(OR(M116="Paid",M116="Cancelled",E116=""),"",IF(E116&lt;TODAY(),"OVERDUE",IF(E116&lt;=TODAY()+'Setup &amp; Lists'!$M$7,"DUE SOON","")))</f>
        <v/>
      </c>
    </row>
    <row r="117">
      <c r="A117" s="18" t="n"/>
      <c r="B117" s="19" t="n"/>
      <c r="C117" s="19" t="n"/>
      <c r="D117" s="19" t="n"/>
      <c r="E117" s="20" t="n"/>
      <c r="F117" s="19" t="n"/>
      <c r="G117" s="19" t="n"/>
      <c r="H117" s="19" t="n"/>
      <c r="I117" s="21" t="n"/>
      <c r="J117" s="19" t="n"/>
      <c r="K117" s="21" t="n"/>
      <c r="L117" s="22">
        <f>IF(I117="","",MAX(0,I117-K117))</f>
        <v/>
      </c>
      <c r="M117" s="19" t="n"/>
      <c r="N117" s="18" t="n"/>
      <c r="O117" s="18" t="n"/>
      <c r="P117" s="23" t="n"/>
      <c r="Q117" s="18" t="n"/>
      <c r="R117" s="18" t="n"/>
      <c r="S117" s="18" t="n"/>
      <c r="T117" s="24">
        <f>IF(E117="","",E117-TODAY())</f>
        <v/>
      </c>
      <c r="U117" s="24">
        <f>IF(OR(M117="Paid",M117="Cancelled",E117=""),"",IF(E117&lt;TODAY(),"OVERDUE",IF(E117&lt;=TODAY()+'Setup &amp; Lists'!$M$7,"DUE SOON","")))</f>
        <v/>
      </c>
    </row>
    <row r="118">
      <c r="A118" s="18" t="n"/>
      <c r="B118" s="19" t="n"/>
      <c r="C118" s="19" t="n"/>
      <c r="D118" s="19" t="n"/>
      <c r="E118" s="20" t="n"/>
      <c r="F118" s="19" t="n"/>
      <c r="G118" s="19" t="n"/>
      <c r="H118" s="19" t="n"/>
      <c r="I118" s="21" t="n"/>
      <c r="J118" s="19" t="n"/>
      <c r="K118" s="21" t="n"/>
      <c r="L118" s="22">
        <f>IF(I118="","",MAX(0,I118-K118))</f>
        <v/>
      </c>
      <c r="M118" s="19" t="n"/>
      <c r="N118" s="18" t="n"/>
      <c r="O118" s="18" t="n"/>
      <c r="P118" s="23" t="n"/>
      <c r="Q118" s="18" t="n"/>
      <c r="R118" s="18" t="n"/>
      <c r="S118" s="18" t="n"/>
      <c r="T118" s="24">
        <f>IF(E118="","",E118-TODAY())</f>
        <v/>
      </c>
      <c r="U118" s="24">
        <f>IF(OR(M118="Paid",M118="Cancelled",E118=""),"",IF(E118&lt;TODAY(),"OVERDUE",IF(E118&lt;=TODAY()+'Setup &amp; Lists'!$M$7,"DUE SOON","")))</f>
        <v/>
      </c>
    </row>
    <row r="119">
      <c r="A119" s="18" t="n"/>
      <c r="B119" s="19" t="n"/>
      <c r="C119" s="19" t="n"/>
      <c r="D119" s="19" t="n"/>
      <c r="E119" s="20" t="n"/>
      <c r="F119" s="19" t="n"/>
      <c r="G119" s="19" t="n"/>
      <c r="H119" s="19" t="n"/>
      <c r="I119" s="21" t="n"/>
      <c r="J119" s="19" t="n"/>
      <c r="K119" s="21" t="n"/>
      <c r="L119" s="22">
        <f>IF(I119="","",MAX(0,I119-K119))</f>
        <v/>
      </c>
      <c r="M119" s="19" t="n"/>
      <c r="N119" s="18" t="n"/>
      <c r="O119" s="18" t="n"/>
      <c r="P119" s="23" t="n"/>
      <c r="Q119" s="18" t="n"/>
      <c r="R119" s="18" t="n"/>
      <c r="S119" s="18" t="n"/>
      <c r="T119" s="24">
        <f>IF(E119="","",E119-TODAY())</f>
        <v/>
      </c>
      <c r="U119" s="24">
        <f>IF(OR(M119="Paid",M119="Cancelled",E119=""),"",IF(E119&lt;TODAY(),"OVERDUE",IF(E119&lt;=TODAY()+'Setup &amp; Lists'!$M$7,"DUE SOON","")))</f>
        <v/>
      </c>
    </row>
    <row r="120">
      <c r="A120" s="18" t="n"/>
      <c r="B120" s="19" t="n"/>
      <c r="C120" s="19" t="n"/>
      <c r="D120" s="19" t="n"/>
      <c r="E120" s="20" t="n"/>
      <c r="F120" s="19" t="n"/>
      <c r="G120" s="19" t="n"/>
      <c r="H120" s="19" t="n"/>
      <c r="I120" s="21" t="n"/>
      <c r="J120" s="19" t="n"/>
      <c r="K120" s="21" t="n"/>
      <c r="L120" s="22">
        <f>IF(I120="","",MAX(0,I120-K120))</f>
        <v/>
      </c>
      <c r="M120" s="19" t="n"/>
      <c r="N120" s="18" t="n"/>
      <c r="O120" s="18" t="n"/>
      <c r="P120" s="23" t="n"/>
      <c r="Q120" s="18" t="n"/>
      <c r="R120" s="18" t="n"/>
      <c r="S120" s="18" t="n"/>
      <c r="T120" s="24">
        <f>IF(E120="","",E120-TODAY())</f>
        <v/>
      </c>
      <c r="U120" s="24">
        <f>IF(OR(M120="Paid",M120="Cancelled",E120=""),"",IF(E120&lt;TODAY(),"OVERDUE",IF(E120&lt;=TODAY()+'Setup &amp; Lists'!$M$7,"DUE SOON","")))</f>
        <v/>
      </c>
    </row>
    <row r="121">
      <c r="A121" s="18" t="n"/>
      <c r="B121" s="19" t="n"/>
      <c r="C121" s="19" t="n"/>
      <c r="D121" s="19" t="n"/>
      <c r="E121" s="20" t="n"/>
      <c r="F121" s="19" t="n"/>
      <c r="G121" s="19" t="n"/>
      <c r="H121" s="19" t="n"/>
      <c r="I121" s="21" t="n"/>
      <c r="J121" s="19" t="n"/>
      <c r="K121" s="21" t="n"/>
      <c r="L121" s="22">
        <f>IF(I121="","",MAX(0,I121-K121))</f>
        <v/>
      </c>
      <c r="M121" s="19" t="n"/>
      <c r="N121" s="18" t="n"/>
      <c r="O121" s="18" t="n"/>
      <c r="P121" s="23" t="n"/>
      <c r="Q121" s="18" t="n"/>
      <c r="R121" s="18" t="n"/>
      <c r="S121" s="18" t="n"/>
      <c r="T121" s="24">
        <f>IF(E121="","",E121-TODAY())</f>
        <v/>
      </c>
      <c r="U121" s="24">
        <f>IF(OR(M121="Paid",M121="Cancelled",E121=""),"",IF(E121&lt;TODAY(),"OVERDUE",IF(E121&lt;=TODAY()+'Setup &amp; Lists'!$M$7,"DUE SOON","")))</f>
        <v/>
      </c>
    </row>
    <row r="122">
      <c r="A122" s="18" t="n"/>
      <c r="B122" s="19" t="n"/>
      <c r="C122" s="19" t="n"/>
      <c r="D122" s="19" t="n"/>
      <c r="E122" s="20" t="n"/>
      <c r="F122" s="19" t="n"/>
      <c r="G122" s="19" t="n"/>
      <c r="H122" s="19" t="n"/>
      <c r="I122" s="21" t="n"/>
      <c r="J122" s="19" t="n"/>
      <c r="K122" s="21" t="n"/>
      <c r="L122" s="22">
        <f>IF(I122="","",MAX(0,I122-K122))</f>
        <v/>
      </c>
      <c r="M122" s="19" t="n"/>
      <c r="N122" s="18" t="n"/>
      <c r="O122" s="18" t="n"/>
      <c r="P122" s="23" t="n"/>
      <c r="Q122" s="18" t="n"/>
      <c r="R122" s="18" t="n"/>
      <c r="S122" s="18" t="n"/>
      <c r="T122" s="24">
        <f>IF(E122="","",E122-TODAY())</f>
        <v/>
      </c>
      <c r="U122" s="24">
        <f>IF(OR(M122="Paid",M122="Cancelled",E122=""),"",IF(E122&lt;TODAY(),"OVERDUE",IF(E122&lt;=TODAY()+'Setup &amp; Lists'!$M$7,"DUE SOON","")))</f>
        <v/>
      </c>
    </row>
    <row r="123">
      <c r="A123" s="18" t="n"/>
      <c r="B123" s="19" t="n"/>
      <c r="C123" s="19" t="n"/>
      <c r="D123" s="19" t="n"/>
      <c r="E123" s="20" t="n"/>
      <c r="F123" s="19" t="n"/>
      <c r="G123" s="19" t="n"/>
      <c r="H123" s="19" t="n"/>
      <c r="I123" s="21" t="n"/>
      <c r="J123" s="19" t="n"/>
      <c r="K123" s="21" t="n"/>
      <c r="L123" s="22">
        <f>IF(I123="","",MAX(0,I123-K123))</f>
        <v/>
      </c>
      <c r="M123" s="19" t="n"/>
      <c r="N123" s="18" t="n"/>
      <c r="O123" s="18" t="n"/>
      <c r="P123" s="23" t="n"/>
      <c r="Q123" s="18" t="n"/>
      <c r="R123" s="18" t="n"/>
      <c r="S123" s="18" t="n"/>
      <c r="T123" s="24">
        <f>IF(E123="","",E123-TODAY())</f>
        <v/>
      </c>
      <c r="U123" s="24">
        <f>IF(OR(M123="Paid",M123="Cancelled",E123=""),"",IF(E123&lt;TODAY(),"OVERDUE",IF(E123&lt;=TODAY()+'Setup &amp; Lists'!$M$7,"DUE SOON","")))</f>
        <v/>
      </c>
    </row>
    <row r="124">
      <c r="A124" s="18" t="n"/>
      <c r="B124" s="19" t="n"/>
      <c r="C124" s="19" t="n"/>
      <c r="D124" s="19" t="n"/>
      <c r="E124" s="20" t="n"/>
      <c r="F124" s="19" t="n"/>
      <c r="G124" s="19" t="n"/>
      <c r="H124" s="19" t="n"/>
      <c r="I124" s="21" t="n"/>
      <c r="J124" s="19" t="n"/>
      <c r="K124" s="21" t="n"/>
      <c r="L124" s="22">
        <f>IF(I124="","",MAX(0,I124-K124))</f>
        <v/>
      </c>
      <c r="M124" s="19" t="n"/>
      <c r="N124" s="18" t="n"/>
      <c r="O124" s="18" t="n"/>
      <c r="P124" s="23" t="n"/>
      <c r="Q124" s="18" t="n"/>
      <c r="R124" s="18" t="n"/>
      <c r="S124" s="18" t="n"/>
      <c r="T124" s="24">
        <f>IF(E124="","",E124-TODAY())</f>
        <v/>
      </c>
      <c r="U124" s="24">
        <f>IF(OR(M124="Paid",M124="Cancelled",E124=""),"",IF(E124&lt;TODAY(),"OVERDUE",IF(E124&lt;=TODAY()+'Setup &amp; Lists'!$M$7,"DUE SOON","")))</f>
        <v/>
      </c>
    </row>
    <row r="125">
      <c r="A125" s="18" t="n"/>
      <c r="B125" s="19" t="n"/>
      <c r="C125" s="19" t="n"/>
      <c r="D125" s="19" t="n"/>
      <c r="E125" s="20" t="n"/>
      <c r="F125" s="19" t="n"/>
      <c r="G125" s="19" t="n"/>
      <c r="H125" s="19" t="n"/>
      <c r="I125" s="21" t="n"/>
      <c r="J125" s="19" t="n"/>
      <c r="K125" s="21" t="n"/>
      <c r="L125" s="22">
        <f>IF(I125="","",MAX(0,I125-K125))</f>
        <v/>
      </c>
      <c r="M125" s="19" t="n"/>
      <c r="N125" s="18" t="n"/>
      <c r="O125" s="18" t="n"/>
      <c r="P125" s="23" t="n"/>
      <c r="Q125" s="18" t="n"/>
      <c r="R125" s="18" t="n"/>
      <c r="S125" s="18" t="n"/>
      <c r="T125" s="24">
        <f>IF(E125="","",E125-TODAY())</f>
        <v/>
      </c>
      <c r="U125" s="24">
        <f>IF(OR(M125="Paid",M125="Cancelled",E125=""),"",IF(E125&lt;TODAY(),"OVERDUE",IF(E125&lt;=TODAY()+'Setup &amp; Lists'!$M$7,"DUE SOON","")))</f>
        <v/>
      </c>
    </row>
    <row r="126">
      <c r="A126" s="18" t="n"/>
      <c r="B126" s="19" t="n"/>
      <c r="C126" s="19" t="n"/>
      <c r="D126" s="19" t="n"/>
      <c r="E126" s="20" t="n"/>
      <c r="F126" s="19" t="n"/>
      <c r="G126" s="19" t="n"/>
      <c r="H126" s="19" t="n"/>
      <c r="I126" s="21" t="n"/>
      <c r="J126" s="19" t="n"/>
      <c r="K126" s="21" t="n"/>
      <c r="L126" s="22">
        <f>IF(I126="","",MAX(0,I126-K126))</f>
        <v/>
      </c>
      <c r="M126" s="19" t="n"/>
      <c r="N126" s="18" t="n"/>
      <c r="O126" s="18" t="n"/>
      <c r="P126" s="23" t="n"/>
      <c r="Q126" s="18" t="n"/>
      <c r="R126" s="18" t="n"/>
      <c r="S126" s="18" t="n"/>
      <c r="T126" s="24">
        <f>IF(E126="","",E126-TODAY())</f>
        <v/>
      </c>
      <c r="U126" s="24">
        <f>IF(OR(M126="Paid",M126="Cancelled",E126=""),"",IF(E126&lt;TODAY(),"OVERDUE",IF(E126&lt;=TODAY()+'Setup &amp; Lists'!$M$7,"DUE SOON","")))</f>
        <v/>
      </c>
    </row>
    <row r="127">
      <c r="A127" s="18" t="n"/>
      <c r="B127" s="19" t="n"/>
      <c r="C127" s="19" t="n"/>
      <c r="D127" s="19" t="n"/>
      <c r="E127" s="20" t="n"/>
      <c r="F127" s="19" t="n"/>
      <c r="G127" s="19" t="n"/>
      <c r="H127" s="19" t="n"/>
      <c r="I127" s="21" t="n"/>
      <c r="J127" s="19" t="n"/>
      <c r="K127" s="21" t="n"/>
      <c r="L127" s="22">
        <f>IF(I127="","",MAX(0,I127-K127))</f>
        <v/>
      </c>
      <c r="M127" s="19" t="n"/>
      <c r="N127" s="18" t="n"/>
      <c r="O127" s="18" t="n"/>
      <c r="P127" s="23" t="n"/>
      <c r="Q127" s="18" t="n"/>
      <c r="R127" s="18" t="n"/>
      <c r="S127" s="18" t="n"/>
      <c r="T127" s="24">
        <f>IF(E127="","",E127-TODAY())</f>
        <v/>
      </c>
      <c r="U127" s="24">
        <f>IF(OR(M127="Paid",M127="Cancelled",E127=""),"",IF(E127&lt;TODAY(),"OVERDUE",IF(E127&lt;=TODAY()+'Setup &amp; Lists'!$M$7,"DUE SOON","")))</f>
        <v/>
      </c>
    </row>
    <row r="128">
      <c r="A128" s="18" t="n"/>
      <c r="B128" s="19" t="n"/>
      <c r="C128" s="19" t="n"/>
      <c r="D128" s="19" t="n"/>
      <c r="E128" s="20" t="n"/>
      <c r="F128" s="19" t="n"/>
      <c r="G128" s="19" t="n"/>
      <c r="H128" s="19" t="n"/>
      <c r="I128" s="21" t="n"/>
      <c r="J128" s="19" t="n"/>
      <c r="K128" s="21" t="n"/>
      <c r="L128" s="22">
        <f>IF(I128="","",MAX(0,I128-K128))</f>
        <v/>
      </c>
      <c r="M128" s="19" t="n"/>
      <c r="N128" s="18" t="n"/>
      <c r="O128" s="18" t="n"/>
      <c r="P128" s="23" t="n"/>
      <c r="Q128" s="18" t="n"/>
      <c r="R128" s="18" t="n"/>
      <c r="S128" s="18" t="n"/>
      <c r="T128" s="24">
        <f>IF(E128="","",E128-TODAY())</f>
        <v/>
      </c>
      <c r="U128" s="24">
        <f>IF(OR(M128="Paid",M128="Cancelled",E128=""),"",IF(E128&lt;TODAY(),"OVERDUE",IF(E128&lt;=TODAY()+'Setup &amp; Lists'!$M$7,"DUE SOON","")))</f>
        <v/>
      </c>
    </row>
    <row r="129">
      <c r="A129" s="18" t="n"/>
      <c r="B129" s="19" t="n"/>
      <c r="C129" s="19" t="n"/>
      <c r="D129" s="19" t="n"/>
      <c r="E129" s="20" t="n"/>
      <c r="F129" s="19" t="n"/>
      <c r="G129" s="19" t="n"/>
      <c r="H129" s="19" t="n"/>
      <c r="I129" s="21" t="n"/>
      <c r="J129" s="19" t="n"/>
      <c r="K129" s="21" t="n"/>
      <c r="L129" s="22">
        <f>IF(I129="","",MAX(0,I129-K129))</f>
        <v/>
      </c>
      <c r="M129" s="19" t="n"/>
      <c r="N129" s="18" t="n"/>
      <c r="O129" s="18" t="n"/>
      <c r="P129" s="23" t="n"/>
      <c r="Q129" s="18" t="n"/>
      <c r="R129" s="18" t="n"/>
      <c r="S129" s="18" t="n"/>
      <c r="T129" s="24">
        <f>IF(E129="","",E129-TODAY())</f>
        <v/>
      </c>
      <c r="U129" s="24">
        <f>IF(OR(M129="Paid",M129="Cancelled",E129=""),"",IF(E129&lt;TODAY(),"OVERDUE",IF(E129&lt;=TODAY()+'Setup &amp; Lists'!$M$7,"DUE SOON","")))</f>
        <v/>
      </c>
    </row>
    <row r="130">
      <c r="A130" s="18" t="n"/>
      <c r="B130" s="19" t="n"/>
      <c r="C130" s="19" t="n"/>
      <c r="D130" s="19" t="n"/>
      <c r="E130" s="20" t="n"/>
      <c r="F130" s="19" t="n"/>
      <c r="G130" s="19" t="n"/>
      <c r="H130" s="19" t="n"/>
      <c r="I130" s="21" t="n"/>
      <c r="J130" s="19" t="n"/>
      <c r="K130" s="21" t="n"/>
      <c r="L130" s="22">
        <f>IF(I130="","",MAX(0,I130-K130))</f>
        <v/>
      </c>
      <c r="M130" s="19" t="n"/>
      <c r="N130" s="18" t="n"/>
      <c r="O130" s="18" t="n"/>
      <c r="P130" s="23" t="n"/>
      <c r="Q130" s="18" t="n"/>
      <c r="R130" s="18" t="n"/>
      <c r="S130" s="18" t="n"/>
      <c r="T130" s="24">
        <f>IF(E130="","",E130-TODAY())</f>
        <v/>
      </c>
      <c r="U130" s="24">
        <f>IF(OR(M130="Paid",M130="Cancelled",E130=""),"",IF(E130&lt;TODAY(),"OVERDUE",IF(E130&lt;=TODAY()+'Setup &amp; Lists'!$M$7,"DUE SOON","")))</f>
        <v/>
      </c>
    </row>
    <row r="131">
      <c r="A131" s="18" t="n"/>
      <c r="B131" s="19" t="n"/>
      <c r="C131" s="19" t="n"/>
      <c r="D131" s="19" t="n"/>
      <c r="E131" s="20" t="n"/>
      <c r="F131" s="19" t="n"/>
      <c r="G131" s="19" t="n"/>
      <c r="H131" s="19" t="n"/>
      <c r="I131" s="21" t="n"/>
      <c r="J131" s="19" t="n"/>
      <c r="K131" s="21" t="n"/>
      <c r="L131" s="22">
        <f>IF(I131="","",MAX(0,I131-K131))</f>
        <v/>
      </c>
      <c r="M131" s="19" t="n"/>
      <c r="N131" s="18" t="n"/>
      <c r="O131" s="18" t="n"/>
      <c r="P131" s="23" t="n"/>
      <c r="Q131" s="18" t="n"/>
      <c r="R131" s="18" t="n"/>
      <c r="S131" s="18" t="n"/>
      <c r="T131" s="24">
        <f>IF(E131="","",E131-TODAY())</f>
        <v/>
      </c>
      <c r="U131" s="24">
        <f>IF(OR(M131="Paid",M131="Cancelled",E131=""),"",IF(E131&lt;TODAY(),"OVERDUE",IF(E131&lt;=TODAY()+'Setup &amp; Lists'!$M$7,"DUE SOON","")))</f>
        <v/>
      </c>
    </row>
    <row r="132">
      <c r="A132" s="18" t="n"/>
      <c r="B132" s="19" t="n"/>
      <c r="C132" s="19" t="n"/>
      <c r="D132" s="19" t="n"/>
      <c r="E132" s="20" t="n"/>
      <c r="F132" s="19" t="n"/>
      <c r="G132" s="19" t="n"/>
      <c r="H132" s="19" t="n"/>
      <c r="I132" s="21" t="n"/>
      <c r="J132" s="19" t="n"/>
      <c r="K132" s="21" t="n"/>
      <c r="L132" s="22">
        <f>IF(I132="","",MAX(0,I132-K132))</f>
        <v/>
      </c>
      <c r="M132" s="19" t="n"/>
      <c r="N132" s="18" t="n"/>
      <c r="O132" s="18" t="n"/>
      <c r="P132" s="23" t="n"/>
      <c r="Q132" s="18" t="n"/>
      <c r="R132" s="18" t="n"/>
      <c r="S132" s="18" t="n"/>
      <c r="T132" s="24">
        <f>IF(E132="","",E132-TODAY())</f>
        <v/>
      </c>
      <c r="U132" s="24">
        <f>IF(OR(M132="Paid",M132="Cancelled",E132=""),"",IF(E132&lt;TODAY(),"OVERDUE",IF(E132&lt;=TODAY()+'Setup &amp; Lists'!$M$7,"DUE SOON","")))</f>
        <v/>
      </c>
    </row>
    <row r="133">
      <c r="A133" s="18" t="n"/>
      <c r="B133" s="19" t="n"/>
      <c r="C133" s="19" t="n"/>
      <c r="D133" s="19" t="n"/>
      <c r="E133" s="20" t="n"/>
      <c r="F133" s="19" t="n"/>
      <c r="G133" s="19" t="n"/>
      <c r="H133" s="19" t="n"/>
      <c r="I133" s="21" t="n"/>
      <c r="J133" s="19" t="n"/>
      <c r="K133" s="21" t="n"/>
      <c r="L133" s="22">
        <f>IF(I133="","",MAX(0,I133-K133))</f>
        <v/>
      </c>
      <c r="M133" s="19" t="n"/>
      <c r="N133" s="18" t="n"/>
      <c r="O133" s="18" t="n"/>
      <c r="P133" s="23" t="n"/>
      <c r="Q133" s="18" t="n"/>
      <c r="R133" s="18" t="n"/>
      <c r="S133" s="18" t="n"/>
      <c r="T133" s="24">
        <f>IF(E133="","",E133-TODAY())</f>
        <v/>
      </c>
      <c r="U133" s="24">
        <f>IF(OR(M133="Paid",M133="Cancelled",E133=""),"",IF(E133&lt;TODAY(),"OVERDUE",IF(E133&lt;=TODAY()+'Setup &amp; Lists'!$M$7,"DUE SOON","")))</f>
        <v/>
      </c>
    </row>
    <row r="134">
      <c r="A134" s="18" t="n"/>
      <c r="B134" s="19" t="n"/>
      <c r="C134" s="19" t="n"/>
      <c r="D134" s="19" t="n"/>
      <c r="E134" s="20" t="n"/>
      <c r="F134" s="19" t="n"/>
      <c r="G134" s="19" t="n"/>
      <c r="H134" s="19" t="n"/>
      <c r="I134" s="21" t="n"/>
      <c r="J134" s="19" t="n"/>
      <c r="K134" s="21" t="n"/>
      <c r="L134" s="22">
        <f>IF(I134="","",MAX(0,I134-K134))</f>
        <v/>
      </c>
      <c r="M134" s="19" t="n"/>
      <c r="N134" s="18" t="n"/>
      <c r="O134" s="18" t="n"/>
      <c r="P134" s="23" t="n"/>
      <c r="Q134" s="18" t="n"/>
      <c r="R134" s="18" t="n"/>
      <c r="S134" s="18" t="n"/>
      <c r="T134" s="24">
        <f>IF(E134="","",E134-TODAY())</f>
        <v/>
      </c>
      <c r="U134" s="24">
        <f>IF(OR(M134="Paid",M134="Cancelled",E134=""),"",IF(E134&lt;TODAY(),"OVERDUE",IF(E134&lt;=TODAY()+'Setup &amp; Lists'!$M$7,"DUE SOON","")))</f>
        <v/>
      </c>
    </row>
    <row r="135">
      <c r="A135" s="18" t="n"/>
      <c r="B135" s="19" t="n"/>
      <c r="C135" s="19" t="n"/>
      <c r="D135" s="19" t="n"/>
      <c r="E135" s="20" t="n"/>
      <c r="F135" s="19" t="n"/>
      <c r="G135" s="19" t="n"/>
      <c r="H135" s="19" t="n"/>
      <c r="I135" s="21" t="n"/>
      <c r="J135" s="19" t="n"/>
      <c r="K135" s="21" t="n"/>
      <c r="L135" s="22">
        <f>IF(I135="","",MAX(0,I135-K135))</f>
        <v/>
      </c>
      <c r="M135" s="19" t="n"/>
      <c r="N135" s="18" t="n"/>
      <c r="O135" s="18" t="n"/>
      <c r="P135" s="23" t="n"/>
      <c r="Q135" s="18" t="n"/>
      <c r="R135" s="18" t="n"/>
      <c r="S135" s="18" t="n"/>
      <c r="T135" s="24">
        <f>IF(E135="","",E135-TODAY())</f>
        <v/>
      </c>
      <c r="U135" s="24">
        <f>IF(OR(M135="Paid",M135="Cancelled",E135=""),"",IF(E135&lt;TODAY(),"OVERDUE",IF(E135&lt;=TODAY()+'Setup &amp; Lists'!$M$7,"DUE SOON","")))</f>
        <v/>
      </c>
    </row>
    <row r="136">
      <c r="A136" s="18" t="n"/>
      <c r="B136" s="19" t="n"/>
      <c r="C136" s="19" t="n"/>
      <c r="D136" s="19" t="n"/>
      <c r="E136" s="20" t="n"/>
      <c r="F136" s="19" t="n"/>
      <c r="G136" s="19" t="n"/>
      <c r="H136" s="19" t="n"/>
      <c r="I136" s="21" t="n"/>
      <c r="J136" s="19" t="n"/>
      <c r="K136" s="21" t="n"/>
      <c r="L136" s="22">
        <f>IF(I136="","",MAX(0,I136-K136))</f>
        <v/>
      </c>
      <c r="M136" s="19" t="n"/>
      <c r="N136" s="18" t="n"/>
      <c r="O136" s="18" t="n"/>
      <c r="P136" s="23" t="n"/>
      <c r="Q136" s="18" t="n"/>
      <c r="R136" s="18" t="n"/>
      <c r="S136" s="18" t="n"/>
      <c r="T136" s="24">
        <f>IF(E136="","",E136-TODAY())</f>
        <v/>
      </c>
      <c r="U136" s="24">
        <f>IF(OR(M136="Paid",M136="Cancelled",E136=""),"",IF(E136&lt;TODAY(),"OVERDUE",IF(E136&lt;=TODAY()+'Setup &amp; Lists'!$M$7,"DUE SOON","")))</f>
        <v/>
      </c>
    </row>
    <row r="137">
      <c r="A137" s="18" t="n"/>
      <c r="B137" s="19" t="n"/>
      <c r="C137" s="19" t="n"/>
      <c r="D137" s="19" t="n"/>
      <c r="E137" s="20" t="n"/>
      <c r="F137" s="19" t="n"/>
      <c r="G137" s="19" t="n"/>
      <c r="H137" s="19" t="n"/>
      <c r="I137" s="21" t="n"/>
      <c r="J137" s="19" t="n"/>
      <c r="K137" s="21" t="n"/>
      <c r="L137" s="22">
        <f>IF(I137="","",MAX(0,I137-K137))</f>
        <v/>
      </c>
      <c r="M137" s="19" t="n"/>
      <c r="N137" s="18" t="n"/>
      <c r="O137" s="18" t="n"/>
      <c r="P137" s="23" t="n"/>
      <c r="Q137" s="18" t="n"/>
      <c r="R137" s="18" t="n"/>
      <c r="S137" s="18" t="n"/>
      <c r="T137" s="24">
        <f>IF(E137="","",E137-TODAY())</f>
        <v/>
      </c>
      <c r="U137" s="24">
        <f>IF(OR(M137="Paid",M137="Cancelled",E137=""),"",IF(E137&lt;TODAY(),"OVERDUE",IF(E137&lt;=TODAY()+'Setup &amp; Lists'!$M$7,"DUE SOON","")))</f>
        <v/>
      </c>
    </row>
    <row r="138">
      <c r="A138" s="18" t="n"/>
      <c r="B138" s="19" t="n"/>
      <c r="C138" s="19" t="n"/>
      <c r="D138" s="19" t="n"/>
      <c r="E138" s="20" t="n"/>
      <c r="F138" s="19" t="n"/>
      <c r="G138" s="19" t="n"/>
      <c r="H138" s="19" t="n"/>
      <c r="I138" s="21" t="n"/>
      <c r="J138" s="19" t="n"/>
      <c r="K138" s="21" t="n"/>
      <c r="L138" s="22">
        <f>IF(I138="","",MAX(0,I138-K138))</f>
        <v/>
      </c>
      <c r="M138" s="19" t="n"/>
      <c r="N138" s="18" t="n"/>
      <c r="O138" s="18" t="n"/>
      <c r="P138" s="23" t="n"/>
      <c r="Q138" s="18" t="n"/>
      <c r="R138" s="18" t="n"/>
      <c r="S138" s="18" t="n"/>
      <c r="T138" s="24">
        <f>IF(E138="","",E138-TODAY())</f>
        <v/>
      </c>
      <c r="U138" s="24">
        <f>IF(OR(M138="Paid",M138="Cancelled",E138=""),"",IF(E138&lt;TODAY(),"OVERDUE",IF(E138&lt;=TODAY()+'Setup &amp; Lists'!$M$7,"DUE SOON","")))</f>
        <v/>
      </c>
    </row>
    <row r="139">
      <c r="A139" s="18" t="n"/>
      <c r="B139" s="19" t="n"/>
      <c r="C139" s="19" t="n"/>
      <c r="D139" s="19" t="n"/>
      <c r="E139" s="20" t="n"/>
      <c r="F139" s="19" t="n"/>
      <c r="G139" s="19" t="n"/>
      <c r="H139" s="19" t="n"/>
      <c r="I139" s="21" t="n"/>
      <c r="J139" s="19" t="n"/>
      <c r="K139" s="21" t="n"/>
      <c r="L139" s="22">
        <f>IF(I139="","",MAX(0,I139-K139))</f>
        <v/>
      </c>
      <c r="M139" s="19" t="n"/>
      <c r="N139" s="18" t="n"/>
      <c r="O139" s="18" t="n"/>
      <c r="P139" s="23" t="n"/>
      <c r="Q139" s="18" t="n"/>
      <c r="R139" s="18" t="n"/>
      <c r="S139" s="18" t="n"/>
      <c r="T139" s="24">
        <f>IF(E139="","",E139-TODAY())</f>
        <v/>
      </c>
      <c r="U139" s="24">
        <f>IF(OR(M139="Paid",M139="Cancelled",E139=""),"",IF(E139&lt;TODAY(),"OVERDUE",IF(E139&lt;=TODAY()+'Setup &amp; Lists'!$M$7,"DUE SOON","")))</f>
        <v/>
      </c>
    </row>
    <row r="140">
      <c r="A140" s="18" t="n"/>
      <c r="B140" s="19" t="n"/>
      <c r="C140" s="19" t="n"/>
      <c r="D140" s="19" t="n"/>
      <c r="E140" s="20" t="n"/>
      <c r="F140" s="19" t="n"/>
      <c r="G140" s="19" t="n"/>
      <c r="H140" s="19" t="n"/>
      <c r="I140" s="21" t="n"/>
      <c r="J140" s="19" t="n"/>
      <c r="K140" s="21" t="n"/>
      <c r="L140" s="22">
        <f>IF(I140="","",MAX(0,I140-K140))</f>
        <v/>
      </c>
      <c r="M140" s="19" t="n"/>
      <c r="N140" s="18" t="n"/>
      <c r="O140" s="18" t="n"/>
      <c r="P140" s="23" t="n"/>
      <c r="Q140" s="18" t="n"/>
      <c r="R140" s="18" t="n"/>
      <c r="S140" s="18" t="n"/>
      <c r="T140" s="24">
        <f>IF(E140="","",E140-TODAY())</f>
        <v/>
      </c>
      <c r="U140" s="24">
        <f>IF(OR(M140="Paid",M140="Cancelled",E140=""),"",IF(E140&lt;TODAY(),"OVERDUE",IF(E140&lt;=TODAY()+'Setup &amp; Lists'!$M$7,"DUE SOON","")))</f>
        <v/>
      </c>
    </row>
    <row r="141">
      <c r="A141" s="18" t="n"/>
      <c r="B141" s="19" t="n"/>
      <c r="C141" s="19" t="n"/>
      <c r="D141" s="19" t="n"/>
      <c r="E141" s="20" t="n"/>
      <c r="F141" s="19" t="n"/>
      <c r="G141" s="19" t="n"/>
      <c r="H141" s="19" t="n"/>
      <c r="I141" s="21" t="n"/>
      <c r="J141" s="19" t="n"/>
      <c r="K141" s="21" t="n"/>
      <c r="L141" s="22">
        <f>IF(I141="","",MAX(0,I141-K141))</f>
        <v/>
      </c>
      <c r="M141" s="19" t="n"/>
      <c r="N141" s="18" t="n"/>
      <c r="O141" s="18" t="n"/>
      <c r="P141" s="23" t="n"/>
      <c r="Q141" s="18" t="n"/>
      <c r="R141" s="18" t="n"/>
      <c r="S141" s="18" t="n"/>
      <c r="T141" s="24">
        <f>IF(E141="","",E141-TODAY())</f>
        <v/>
      </c>
      <c r="U141" s="24">
        <f>IF(OR(M141="Paid",M141="Cancelled",E141=""),"",IF(E141&lt;TODAY(),"OVERDUE",IF(E141&lt;=TODAY()+'Setup &amp; Lists'!$M$7,"DUE SOON","")))</f>
        <v/>
      </c>
    </row>
    <row r="142">
      <c r="A142" s="18" t="n"/>
      <c r="B142" s="19" t="n"/>
      <c r="C142" s="19" t="n"/>
      <c r="D142" s="19" t="n"/>
      <c r="E142" s="20" t="n"/>
      <c r="F142" s="19" t="n"/>
      <c r="G142" s="19" t="n"/>
      <c r="H142" s="19" t="n"/>
      <c r="I142" s="21" t="n"/>
      <c r="J142" s="19" t="n"/>
      <c r="K142" s="21" t="n"/>
      <c r="L142" s="22">
        <f>IF(I142="","",MAX(0,I142-K142))</f>
        <v/>
      </c>
      <c r="M142" s="19" t="n"/>
      <c r="N142" s="18" t="n"/>
      <c r="O142" s="18" t="n"/>
      <c r="P142" s="23" t="n"/>
      <c r="Q142" s="18" t="n"/>
      <c r="R142" s="18" t="n"/>
      <c r="S142" s="18" t="n"/>
      <c r="T142" s="24">
        <f>IF(E142="","",E142-TODAY())</f>
        <v/>
      </c>
      <c r="U142" s="24">
        <f>IF(OR(M142="Paid",M142="Cancelled",E142=""),"",IF(E142&lt;TODAY(),"OVERDUE",IF(E142&lt;=TODAY()+'Setup &amp; Lists'!$M$7,"DUE SOON","")))</f>
        <v/>
      </c>
    </row>
    <row r="143">
      <c r="A143" s="18" t="n"/>
      <c r="B143" s="19" t="n"/>
      <c r="C143" s="19" t="n"/>
      <c r="D143" s="19" t="n"/>
      <c r="E143" s="20" t="n"/>
      <c r="F143" s="19" t="n"/>
      <c r="G143" s="19" t="n"/>
      <c r="H143" s="19" t="n"/>
      <c r="I143" s="21" t="n"/>
      <c r="J143" s="19" t="n"/>
      <c r="K143" s="21" t="n"/>
      <c r="L143" s="22">
        <f>IF(I143="","",MAX(0,I143-K143))</f>
        <v/>
      </c>
      <c r="M143" s="19" t="n"/>
      <c r="N143" s="18" t="n"/>
      <c r="O143" s="18" t="n"/>
      <c r="P143" s="23" t="n"/>
      <c r="Q143" s="18" t="n"/>
      <c r="R143" s="18" t="n"/>
      <c r="S143" s="18" t="n"/>
      <c r="T143" s="24">
        <f>IF(E143="","",E143-TODAY())</f>
        <v/>
      </c>
      <c r="U143" s="24">
        <f>IF(OR(M143="Paid",M143="Cancelled",E143=""),"",IF(E143&lt;TODAY(),"OVERDUE",IF(E143&lt;=TODAY()+'Setup &amp; Lists'!$M$7,"DUE SOON","")))</f>
        <v/>
      </c>
    </row>
    <row r="144">
      <c r="A144" s="18" t="n"/>
      <c r="B144" s="19" t="n"/>
      <c r="C144" s="19" t="n"/>
      <c r="D144" s="19" t="n"/>
      <c r="E144" s="20" t="n"/>
      <c r="F144" s="19" t="n"/>
      <c r="G144" s="19" t="n"/>
      <c r="H144" s="19" t="n"/>
      <c r="I144" s="21" t="n"/>
      <c r="J144" s="19" t="n"/>
      <c r="K144" s="21" t="n"/>
      <c r="L144" s="22">
        <f>IF(I144="","",MAX(0,I144-K144))</f>
        <v/>
      </c>
      <c r="M144" s="19" t="n"/>
      <c r="N144" s="18" t="n"/>
      <c r="O144" s="18" t="n"/>
      <c r="P144" s="23" t="n"/>
      <c r="Q144" s="18" t="n"/>
      <c r="R144" s="18" t="n"/>
      <c r="S144" s="18" t="n"/>
      <c r="T144" s="24">
        <f>IF(E144="","",E144-TODAY())</f>
        <v/>
      </c>
      <c r="U144" s="24">
        <f>IF(OR(M144="Paid",M144="Cancelled",E144=""),"",IF(E144&lt;TODAY(),"OVERDUE",IF(E144&lt;=TODAY()+'Setup &amp; Lists'!$M$7,"DUE SOON","")))</f>
        <v/>
      </c>
    </row>
    <row r="145">
      <c r="A145" s="18" t="n"/>
      <c r="B145" s="19" t="n"/>
      <c r="C145" s="19" t="n"/>
      <c r="D145" s="19" t="n"/>
      <c r="E145" s="20" t="n"/>
      <c r="F145" s="19" t="n"/>
      <c r="G145" s="19" t="n"/>
      <c r="H145" s="19" t="n"/>
      <c r="I145" s="21" t="n"/>
      <c r="J145" s="19" t="n"/>
      <c r="K145" s="21" t="n"/>
      <c r="L145" s="22">
        <f>IF(I145="","",MAX(0,I145-K145))</f>
        <v/>
      </c>
      <c r="M145" s="19" t="n"/>
      <c r="N145" s="18" t="n"/>
      <c r="O145" s="18" t="n"/>
      <c r="P145" s="23" t="n"/>
      <c r="Q145" s="18" t="n"/>
      <c r="R145" s="18" t="n"/>
      <c r="S145" s="18" t="n"/>
      <c r="T145" s="24">
        <f>IF(E145="","",E145-TODAY())</f>
        <v/>
      </c>
      <c r="U145" s="24">
        <f>IF(OR(M145="Paid",M145="Cancelled",E145=""),"",IF(E145&lt;TODAY(),"OVERDUE",IF(E145&lt;=TODAY()+'Setup &amp; Lists'!$M$7,"DUE SOON","")))</f>
        <v/>
      </c>
    </row>
    <row r="146">
      <c r="A146" s="18" t="n"/>
      <c r="B146" s="19" t="n"/>
      <c r="C146" s="19" t="n"/>
      <c r="D146" s="19" t="n"/>
      <c r="E146" s="20" t="n"/>
      <c r="F146" s="19" t="n"/>
      <c r="G146" s="19" t="n"/>
      <c r="H146" s="19" t="n"/>
      <c r="I146" s="21" t="n"/>
      <c r="J146" s="19" t="n"/>
      <c r="K146" s="21" t="n"/>
      <c r="L146" s="22">
        <f>IF(I146="","",MAX(0,I146-K146))</f>
        <v/>
      </c>
      <c r="M146" s="19" t="n"/>
      <c r="N146" s="18" t="n"/>
      <c r="O146" s="18" t="n"/>
      <c r="P146" s="23" t="n"/>
      <c r="Q146" s="18" t="n"/>
      <c r="R146" s="18" t="n"/>
      <c r="S146" s="18" t="n"/>
      <c r="T146" s="24">
        <f>IF(E146="","",E146-TODAY())</f>
        <v/>
      </c>
      <c r="U146" s="24">
        <f>IF(OR(M146="Paid",M146="Cancelled",E146=""),"",IF(E146&lt;TODAY(),"OVERDUE",IF(E146&lt;=TODAY()+'Setup &amp; Lists'!$M$7,"DUE SOON","")))</f>
        <v/>
      </c>
    </row>
    <row r="147">
      <c r="A147" s="18" t="n"/>
      <c r="B147" s="19" t="n"/>
      <c r="C147" s="19" t="n"/>
      <c r="D147" s="19" t="n"/>
      <c r="E147" s="20" t="n"/>
      <c r="F147" s="19" t="n"/>
      <c r="G147" s="19" t="n"/>
      <c r="H147" s="19" t="n"/>
      <c r="I147" s="21" t="n"/>
      <c r="J147" s="19" t="n"/>
      <c r="K147" s="21" t="n"/>
      <c r="L147" s="22">
        <f>IF(I147="","",MAX(0,I147-K147))</f>
        <v/>
      </c>
      <c r="M147" s="19" t="n"/>
      <c r="N147" s="18" t="n"/>
      <c r="O147" s="18" t="n"/>
      <c r="P147" s="23" t="n"/>
      <c r="Q147" s="18" t="n"/>
      <c r="R147" s="18" t="n"/>
      <c r="S147" s="18" t="n"/>
      <c r="T147" s="24">
        <f>IF(E147="","",E147-TODAY())</f>
        <v/>
      </c>
      <c r="U147" s="24">
        <f>IF(OR(M147="Paid",M147="Cancelled",E147=""),"",IF(E147&lt;TODAY(),"OVERDUE",IF(E147&lt;=TODAY()+'Setup &amp; Lists'!$M$7,"DUE SOON","")))</f>
        <v/>
      </c>
    </row>
    <row r="148">
      <c r="A148" s="18" t="n"/>
      <c r="B148" s="19" t="n"/>
      <c r="C148" s="19" t="n"/>
      <c r="D148" s="19" t="n"/>
      <c r="E148" s="20" t="n"/>
      <c r="F148" s="19" t="n"/>
      <c r="G148" s="19" t="n"/>
      <c r="H148" s="19" t="n"/>
      <c r="I148" s="21" t="n"/>
      <c r="J148" s="19" t="n"/>
      <c r="K148" s="21" t="n"/>
      <c r="L148" s="22">
        <f>IF(I148="","",MAX(0,I148-K148))</f>
        <v/>
      </c>
      <c r="M148" s="19" t="n"/>
      <c r="N148" s="18" t="n"/>
      <c r="O148" s="18" t="n"/>
      <c r="P148" s="23" t="n"/>
      <c r="Q148" s="18" t="n"/>
      <c r="R148" s="18" t="n"/>
      <c r="S148" s="18" t="n"/>
      <c r="T148" s="24">
        <f>IF(E148="","",E148-TODAY())</f>
        <v/>
      </c>
      <c r="U148" s="24">
        <f>IF(OR(M148="Paid",M148="Cancelled",E148=""),"",IF(E148&lt;TODAY(),"OVERDUE",IF(E148&lt;=TODAY()+'Setup &amp; Lists'!$M$7,"DUE SOON","")))</f>
        <v/>
      </c>
    </row>
    <row r="149">
      <c r="A149" s="18" t="n"/>
      <c r="B149" s="19" t="n"/>
      <c r="C149" s="19" t="n"/>
      <c r="D149" s="19" t="n"/>
      <c r="E149" s="20" t="n"/>
      <c r="F149" s="19" t="n"/>
      <c r="G149" s="19" t="n"/>
      <c r="H149" s="19" t="n"/>
      <c r="I149" s="21" t="n"/>
      <c r="J149" s="19" t="n"/>
      <c r="K149" s="21" t="n"/>
      <c r="L149" s="22">
        <f>IF(I149="","",MAX(0,I149-K149))</f>
        <v/>
      </c>
      <c r="M149" s="19" t="n"/>
      <c r="N149" s="18" t="n"/>
      <c r="O149" s="18" t="n"/>
      <c r="P149" s="23" t="n"/>
      <c r="Q149" s="18" t="n"/>
      <c r="R149" s="18" t="n"/>
      <c r="S149" s="18" t="n"/>
      <c r="T149" s="24">
        <f>IF(E149="","",E149-TODAY())</f>
        <v/>
      </c>
      <c r="U149" s="24">
        <f>IF(OR(M149="Paid",M149="Cancelled",E149=""),"",IF(E149&lt;TODAY(),"OVERDUE",IF(E149&lt;=TODAY()+'Setup &amp; Lists'!$M$7,"DUE SOON","")))</f>
        <v/>
      </c>
    </row>
    <row r="150">
      <c r="A150" s="18" t="n"/>
      <c r="B150" s="19" t="n"/>
      <c r="C150" s="19" t="n"/>
      <c r="D150" s="19" t="n"/>
      <c r="E150" s="20" t="n"/>
      <c r="F150" s="19" t="n"/>
      <c r="G150" s="19" t="n"/>
      <c r="H150" s="19" t="n"/>
      <c r="I150" s="21" t="n"/>
      <c r="J150" s="19" t="n"/>
      <c r="K150" s="21" t="n"/>
      <c r="L150" s="22">
        <f>IF(I150="","",MAX(0,I150-K150))</f>
        <v/>
      </c>
      <c r="M150" s="19" t="n"/>
      <c r="N150" s="18" t="n"/>
      <c r="O150" s="18" t="n"/>
      <c r="P150" s="23" t="n"/>
      <c r="Q150" s="18" t="n"/>
      <c r="R150" s="18" t="n"/>
      <c r="S150" s="18" t="n"/>
      <c r="T150" s="24">
        <f>IF(E150="","",E150-TODAY())</f>
        <v/>
      </c>
      <c r="U150" s="24">
        <f>IF(OR(M150="Paid",M150="Cancelled",E150=""),"",IF(E150&lt;TODAY(),"OVERDUE",IF(E150&lt;=TODAY()+'Setup &amp; Lists'!$M$7,"DUE SOON","")))</f>
        <v/>
      </c>
    </row>
    <row r="151">
      <c r="A151" s="18" t="n"/>
      <c r="B151" s="19" t="n"/>
      <c r="C151" s="19" t="n"/>
      <c r="D151" s="19" t="n"/>
      <c r="E151" s="20" t="n"/>
      <c r="F151" s="19" t="n"/>
      <c r="G151" s="19" t="n"/>
      <c r="H151" s="19" t="n"/>
      <c r="I151" s="21" t="n"/>
      <c r="J151" s="19" t="n"/>
      <c r="K151" s="21" t="n"/>
      <c r="L151" s="22">
        <f>IF(I151="","",MAX(0,I151-K151))</f>
        <v/>
      </c>
      <c r="M151" s="19" t="n"/>
      <c r="N151" s="18" t="n"/>
      <c r="O151" s="18" t="n"/>
      <c r="P151" s="23" t="n"/>
      <c r="Q151" s="18" t="n"/>
      <c r="R151" s="18" t="n"/>
      <c r="S151" s="18" t="n"/>
      <c r="T151" s="24">
        <f>IF(E151="","",E151-TODAY())</f>
        <v/>
      </c>
      <c r="U151" s="24">
        <f>IF(OR(M151="Paid",M151="Cancelled",E151=""),"",IF(E151&lt;TODAY(),"OVERDUE",IF(E151&lt;=TODAY()+'Setup &amp; Lists'!$M$7,"DUE SOON","")))</f>
        <v/>
      </c>
    </row>
    <row r="152">
      <c r="A152" s="18" t="n"/>
      <c r="B152" s="19" t="n"/>
      <c r="C152" s="19" t="n"/>
      <c r="D152" s="19" t="n"/>
      <c r="E152" s="20" t="n"/>
      <c r="F152" s="19" t="n"/>
      <c r="G152" s="19" t="n"/>
      <c r="H152" s="19" t="n"/>
      <c r="I152" s="21" t="n"/>
      <c r="J152" s="19" t="n"/>
      <c r="K152" s="21" t="n"/>
      <c r="L152" s="22">
        <f>IF(I152="","",MAX(0,I152-K152))</f>
        <v/>
      </c>
      <c r="M152" s="19" t="n"/>
      <c r="N152" s="18" t="n"/>
      <c r="O152" s="18" t="n"/>
      <c r="P152" s="23" t="n"/>
      <c r="Q152" s="18" t="n"/>
      <c r="R152" s="18" t="n"/>
      <c r="S152" s="18" t="n"/>
      <c r="T152" s="24">
        <f>IF(E152="","",E152-TODAY())</f>
        <v/>
      </c>
      <c r="U152" s="24">
        <f>IF(OR(M152="Paid",M152="Cancelled",E152=""),"",IF(E152&lt;TODAY(),"OVERDUE",IF(E152&lt;=TODAY()+'Setup &amp; Lists'!$M$7,"DUE SOON","")))</f>
        <v/>
      </c>
    </row>
    <row r="153">
      <c r="A153" s="18" t="n"/>
      <c r="B153" s="19" t="n"/>
      <c r="C153" s="19" t="n"/>
      <c r="D153" s="19" t="n"/>
      <c r="E153" s="20" t="n"/>
      <c r="F153" s="19" t="n"/>
      <c r="G153" s="19" t="n"/>
      <c r="H153" s="19" t="n"/>
      <c r="I153" s="21" t="n"/>
      <c r="J153" s="19" t="n"/>
      <c r="K153" s="21" t="n"/>
      <c r="L153" s="22">
        <f>IF(I153="","",MAX(0,I153-K153))</f>
        <v/>
      </c>
      <c r="M153" s="19" t="n"/>
      <c r="N153" s="18" t="n"/>
      <c r="O153" s="18" t="n"/>
      <c r="P153" s="23" t="n"/>
      <c r="Q153" s="18" t="n"/>
      <c r="R153" s="18" t="n"/>
      <c r="S153" s="18" t="n"/>
      <c r="T153" s="24">
        <f>IF(E153="","",E153-TODAY())</f>
        <v/>
      </c>
      <c r="U153" s="24">
        <f>IF(OR(M153="Paid",M153="Cancelled",E153=""),"",IF(E153&lt;TODAY(),"OVERDUE",IF(E153&lt;=TODAY()+'Setup &amp; Lists'!$M$7,"DUE SOON","")))</f>
        <v/>
      </c>
    </row>
    <row r="154">
      <c r="A154" s="18" t="n"/>
      <c r="B154" s="19" t="n"/>
      <c r="C154" s="19" t="n"/>
      <c r="D154" s="19" t="n"/>
      <c r="E154" s="20" t="n"/>
      <c r="F154" s="19" t="n"/>
      <c r="G154" s="19" t="n"/>
      <c r="H154" s="19" t="n"/>
      <c r="I154" s="21" t="n"/>
      <c r="J154" s="19" t="n"/>
      <c r="K154" s="21" t="n"/>
      <c r="L154" s="22">
        <f>IF(I154="","",MAX(0,I154-K154))</f>
        <v/>
      </c>
      <c r="M154" s="19" t="n"/>
      <c r="N154" s="18" t="n"/>
      <c r="O154" s="18" t="n"/>
      <c r="P154" s="23" t="n"/>
      <c r="Q154" s="18" t="n"/>
      <c r="R154" s="18" t="n"/>
      <c r="S154" s="18" t="n"/>
      <c r="T154" s="24">
        <f>IF(E154="","",E154-TODAY())</f>
        <v/>
      </c>
      <c r="U154" s="24">
        <f>IF(OR(M154="Paid",M154="Cancelled",E154=""),"",IF(E154&lt;TODAY(),"OVERDUE",IF(E154&lt;=TODAY()+'Setup &amp; Lists'!$M$7,"DUE SOON","")))</f>
        <v/>
      </c>
    </row>
    <row r="155">
      <c r="A155" s="18" t="n"/>
      <c r="B155" s="19" t="n"/>
      <c r="C155" s="19" t="n"/>
      <c r="D155" s="19" t="n"/>
      <c r="E155" s="20" t="n"/>
      <c r="F155" s="19" t="n"/>
      <c r="G155" s="19" t="n"/>
      <c r="H155" s="19" t="n"/>
      <c r="I155" s="21" t="n"/>
      <c r="J155" s="19" t="n"/>
      <c r="K155" s="21" t="n"/>
      <c r="L155" s="22">
        <f>IF(I155="","",MAX(0,I155-K155))</f>
        <v/>
      </c>
      <c r="M155" s="19" t="n"/>
      <c r="N155" s="18" t="n"/>
      <c r="O155" s="18" t="n"/>
      <c r="P155" s="23" t="n"/>
      <c r="Q155" s="18" t="n"/>
      <c r="R155" s="18" t="n"/>
      <c r="S155" s="18" t="n"/>
      <c r="T155" s="24">
        <f>IF(E155="","",E155-TODAY())</f>
        <v/>
      </c>
      <c r="U155" s="24">
        <f>IF(OR(M155="Paid",M155="Cancelled",E155=""),"",IF(E155&lt;TODAY(),"OVERDUE",IF(E155&lt;=TODAY()+'Setup &amp; Lists'!$M$7,"DUE SOON","")))</f>
        <v/>
      </c>
    </row>
    <row r="156">
      <c r="A156" s="18" t="n"/>
      <c r="B156" s="19" t="n"/>
      <c r="C156" s="19" t="n"/>
      <c r="D156" s="19" t="n"/>
      <c r="E156" s="20" t="n"/>
      <c r="F156" s="19" t="n"/>
      <c r="G156" s="19" t="n"/>
      <c r="H156" s="19" t="n"/>
      <c r="I156" s="21" t="n"/>
      <c r="J156" s="19" t="n"/>
      <c r="K156" s="21" t="n"/>
      <c r="L156" s="22">
        <f>IF(I156="","",MAX(0,I156-K156))</f>
        <v/>
      </c>
      <c r="M156" s="19" t="n"/>
      <c r="N156" s="18" t="n"/>
      <c r="O156" s="18" t="n"/>
      <c r="P156" s="23" t="n"/>
      <c r="Q156" s="18" t="n"/>
      <c r="R156" s="18" t="n"/>
      <c r="S156" s="18" t="n"/>
      <c r="T156" s="24">
        <f>IF(E156="","",E156-TODAY())</f>
        <v/>
      </c>
      <c r="U156" s="24">
        <f>IF(OR(M156="Paid",M156="Cancelled",E156=""),"",IF(E156&lt;TODAY(),"OVERDUE",IF(E156&lt;=TODAY()+'Setup &amp; Lists'!$M$7,"DUE SOON","")))</f>
        <v/>
      </c>
    </row>
    <row r="157">
      <c r="A157" s="18" t="n"/>
      <c r="B157" s="19" t="n"/>
      <c r="C157" s="19" t="n"/>
      <c r="D157" s="19" t="n"/>
      <c r="E157" s="20" t="n"/>
      <c r="F157" s="19" t="n"/>
      <c r="G157" s="19" t="n"/>
      <c r="H157" s="19" t="n"/>
      <c r="I157" s="21" t="n"/>
      <c r="J157" s="19" t="n"/>
      <c r="K157" s="21" t="n"/>
      <c r="L157" s="22">
        <f>IF(I157="","",MAX(0,I157-K157))</f>
        <v/>
      </c>
      <c r="M157" s="19" t="n"/>
      <c r="N157" s="18" t="n"/>
      <c r="O157" s="18" t="n"/>
      <c r="P157" s="23" t="n"/>
      <c r="Q157" s="18" t="n"/>
      <c r="R157" s="18" t="n"/>
      <c r="S157" s="18" t="n"/>
      <c r="T157" s="24">
        <f>IF(E157="","",E157-TODAY())</f>
        <v/>
      </c>
      <c r="U157" s="24">
        <f>IF(OR(M157="Paid",M157="Cancelled",E157=""),"",IF(E157&lt;TODAY(),"OVERDUE",IF(E157&lt;=TODAY()+'Setup &amp; Lists'!$M$7,"DUE SOON","")))</f>
        <v/>
      </c>
    </row>
    <row r="158">
      <c r="A158" s="18" t="n"/>
      <c r="B158" s="19" t="n"/>
      <c r="C158" s="19" t="n"/>
      <c r="D158" s="19" t="n"/>
      <c r="E158" s="20" t="n"/>
      <c r="F158" s="19" t="n"/>
      <c r="G158" s="19" t="n"/>
      <c r="H158" s="19" t="n"/>
      <c r="I158" s="21" t="n"/>
      <c r="J158" s="19" t="n"/>
      <c r="K158" s="21" t="n"/>
      <c r="L158" s="22">
        <f>IF(I158="","",MAX(0,I158-K158))</f>
        <v/>
      </c>
      <c r="M158" s="19" t="n"/>
      <c r="N158" s="18" t="n"/>
      <c r="O158" s="18" t="n"/>
      <c r="P158" s="23" t="n"/>
      <c r="Q158" s="18" t="n"/>
      <c r="R158" s="18" t="n"/>
      <c r="S158" s="18" t="n"/>
      <c r="T158" s="24">
        <f>IF(E158="","",E158-TODAY())</f>
        <v/>
      </c>
      <c r="U158" s="24">
        <f>IF(OR(M158="Paid",M158="Cancelled",E158=""),"",IF(E158&lt;TODAY(),"OVERDUE",IF(E158&lt;=TODAY()+'Setup &amp; Lists'!$M$7,"DUE SOON","")))</f>
        <v/>
      </c>
    </row>
    <row r="159">
      <c r="A159" s="18" t="n"/>
      <c r="B159" s="19" t="n"/>
      <c r="C159" s="19" t="n"/>
      <c r="D159" s="19" t="n"/>
      <c r="E159" s="20" t="n"/>
      <c r="F159" s="19" t="n"/>
      <c r="G159" s="19" t="n"/>
      <c r="H159" s="19" t="n"/>
      <c r="I159" s="21" t="n"/>
      <c r="J159" s="19" t="n"/>
      <c r="K159" s="21" t="n"/>
      <c r="L159" s="22">
        <f>IF(I159="","",MAX(0,I159-K159))</f>
        <v/>
      </c>
      <c r="M159" s="19" t="n"/>
      <c r="N159" s="18" t="n"/>
      <c r="O159" s="18" t="n"/>
      <c r="P159" s="23" t="n"/>
      <c r="Q159" s="18" t="n"/>
      <c r="R159" s="18" t="n"/>
      <c r="S159" s="18" t="n"/>
      <c r="T159" s="24">
        <f>IF(E159="","",E159-TODAY())</f>
        <v/>
      </c>
      <c r="U159" s="24">
        <f>IF(OR(M159="Paid",M159="Cancelled",E159=""),"",IF(E159&lt;TODAY(),"OVERDUE",IF(E159&lt;=TODAY()+'Setup &amp; Lists'!$M$7,"DUE SOON","")))</f>
        <v/>
      </c>
    </row>
    <row r="160">
      <c r="A160" s="18" t="n"/>
      <c r="B160" s="19" t="n"/>
      <c r="C160" s="19" t="n"/>
      <c r="D160" s="19" t="n"/>
      <c r="E160" s="20" t="n"/>
      <c r="F160" s="19" t="n"/>
      <c r="G160" s="19" t="n"/>
      <c r="H160" s="19" t="n"/>
      <c r="I160" s="21" t="n"/>
      <c r="J160" s="19" t="n"/>
      <c r="K160" s="21" t="n"/>
      <c r="L160" s="22">
        <f>IF(I160="","",MAX(0,I160-K160))</f>
        <v/>
      </c>
      <c r="M160" s="19" t="n"/>
      <c r="N160" s="18" t="n"/>
      <c r="O160" s="18" t="n"/>
      <c r="P160" s="23" t="n"/>
      <c r="Q160" s="18" t="n"/>
      <c r="R160" s="18" t="n"/>
      <c r="S160" s="18" t="n"/>
      <c r="T160" s="24">
        <f>IF(E160="","",E160-TODAY())</f>
        <v/>
      </c>
      <c r="U160" s="24">
        <f>IF(OR(M160="Paid",M160="Cancelled",E160=""),"",IF(E160&lt;TODAY(),"OVERDUE",IF(E160&lt;=TODAY()+'Setup &amp; Lists'!$M$7,"DUE SOON","")))</f>
        <v/>
      </c>
    </row>
    <row r="161">
      <c r="A161" s="18" t="n"/>
      <c r="B161" s="19" t="n"/>
      <c r="C161" s="19" t="n"/>
      <c r="D161" s="19" t="n"/>
      <c r="E161" s="20" t="n"/>
      <c r="F161" s="19" t="n"/>
      <c r="G161" s="19" t="n"/>
      <c r="H161" s="19" t="n"/>
      <c r="I161" s="21" t="n"/>
      <c r="J161" s="19" t="n"/>
      <c r="K161" s="21" t="n"/>
      <c r="L161" s="22">
        <f>IF(I161="","",MAX(0,I161-K161))</f>
        <v/>
      </c>
      <c r="M161" s="19" t="n"/>
      <c r="N161" s="18" t="n"/>
      <c r="O161" s="18" t="n"/>
      <c r="P161" s="23" t="n"/>
      <c r="Q161" s="18" t="n"/>
      <c r="R161" s="18" t="n"/>
      <c r="S161" s="18" t="n"/>
      <c r="T161" s="24">
        <f>IF(E161="","",E161-TODAY())</f>
        <v/>
      </c>
      <c r="U161" s="24">
        <f>IF(OR(M161="Paid",M161="Cancelled",E161=""),"",IF(E161&lt;TODAY(),"OVERDUE",IF(E161&lt;=TODAY()+'Setup &amp; Lists'!$M$7,"DUE SOON","")))</f>
        <v/>
      </c>
    </row>
    <row r="162">
      <c r="A162" s="18" t="n"/>
      <c r="B162" s="19" t="n"/>
      <c r="C162" s="19" t="n"/>
      <c r="D162" s="19" t="n"/>
      <c r="E162" s="20" t="n"/>
      <c r="F162" s="19" t="n"/>
      <c r="G162" s="19" t="n"/>
      <c r="H162" s="19" t="n"/>
      <c r="I162" s="21" t="n"/>
      <c r="J162" s="19" t="n"/>
      <c r="K162" s="21" t="n"/>
      <c r="L162" s="22">
        <f>IF(I162="","",MAX(0,I162-K162))</f>
        <v/>
      </c>
      <c r="M162" s="19" t="n"/>
      <c r="N162" s="18" t="n"/>
      <c r="O162" s="18" t="n"/>
      <c r="P162" s="23" t="n"/>
      <c r="Q162" s="18" t="n"/>
      <c r="R162" s="18" t="n"/>
      <c r="S162" s="18" t="n"/>
      <c r="T162" s="24">
        <f>IF(E162="","",E162-TODAY())</f>
        <v/>
      </c>
      <c r="U162" s="24">
        <f>IF(OR(M162="Paid",M162="Cancelled",E162=""),"",IF(E162&lt;TODAY(),"OVERDUE",IF(E162&lt;=TODAY()+'Setup &amp; Lists'!$M$7,"DUE SOON","")))</f>
        <v/>
      </c>
    </row>
    <row r="163">
      <c r="A163" s="18" t="n"/>
      <c r="B163" s="19" t="n"/>
      <c r="C163" s="19" t="n"/>
      <c r="D163" s="19" t="n"/>
      <c r="E163" s="20" t="n"/>
      <c r="F163" s="19" t="n"/>
      <c r="G163" s="19" t="n"/>
      <c r="H163" s="19" t="n"/>
      <c r="I163" s="21" t="n"/>
      <c r="J163" s="19" t="n"/>
      <c r="K163" s="21" t="n"/>
      <c r="L163" s="22">
        <f>IF(I163="","",MAX(0,I163-K163))</f>
        <v/>
      </c>
      <c r="M163" s="19" t="n"/>
      <c r="N163" s="18" t="n"/>
      <c r="O163" s="18" t="n"/>
      <c r="P163" s="23" t="n"/>
      <c r="Q163" s="18" t="n"/>
      <c r="R163" s="18" t="n"/>
      <c r="S163" s="18" t="n"/>
      <c r="T163" s="24">
        <f>IF(E163="","",E163-TODAY())</f>
        <v/>
      </c>
      <c r="U163" s="24">
        <f>IF(OR(M163="Paid",M163="Cancelled",E163=""),"",IF(E163&lt;TODAY(),"OVERDUE",IF(E163&lt;=TODAY()+'Setup &amp; Lists'!$M$7,"DUE SOON","")))</f>
        <v/>
      </c>
    </row>
    <row r="164">
      <c r="A164" s="18" t="n"/>
      <c r="B164" s="19" t="n"/>
      <c r="C164" s="19" t="n"/>
      <c r="D164" s="19" t="n"/>
      <c r="E164" s="20" t="n"/>
      <c r="F164" s="19" t="n"/>
      <c r="G164" s="19" t="n"/>
      <c r="H164" s="19" t="n"/>
      <c r="I164" s="21" t="n"/>
      <c r="J164" s="19" t="n"/>
      <c r="K164" s="21" t="n"/>
      <c r="L164" s="22">
        <f>IF(I164="","",MAX(0,I164-K164))</f>
        <v/>
      </c>
      <c r="M164" s="19" t="n"/>
      <c r="N164" s="18" t="n"/>
      <c r="O164" s="18" t="n"/>
      <c r="P164" s="23" t="n"/>
      <c r="Q164" s="18" t="n"/>
      <c r="R164" s="18" t="n"/>
      <c r="S164" s="18" t="n"/>
      <c r="T164" s="24">
        <f>IF(E164="","",E164-TODAY())</f>
        <v/>
      </c>
      <c r="U164" s="24">
        <f>IF(OR(M164="Paid",M164="Cancelled",E164=""),"",IF(E164&lt;TODAY(),"OVERDUE",IF(E164&lt;=TODAY()+'Setup &amp; Lists'!$M$7,"DUE SOON","")))</f>
        <v/>
      </c>
    </row>
    <row r="165">
      <c r="A165" s="18" t="n"/>
      <c r="B165" s="19" t="n"/>
      <c r="C165" s="19" t="n"/>
      <c r="D165" s="19" t="n"/>
      <c r="E165" s="20" t="n"/>
      <c r="F165" s="19" t="n"/>
      <c r="G165" s="19" t="n"/>
      <c r="H165" s="19" t="n"/>
      <c r="I165" s="21" t="n"/>
      <c r="J165" s="19" t="n"/>
      <c r="K165" s="21" t="n"/>
      <c r="L165" s="22">
        <f>IF(I165="","",MAX(0,I165-K165))</f>
        <v/>
      </c>
      <c r="M165" s="19" t="n"/>
      <c r="N165" s="18" t="n"/>
      <c r="O165" s="18" t="n"/>
      <c r="P165" s="23" t="n"/>
      <c r="Q165" s="18" t="n"/>
      <c r="R165" s="18" t="n"/>
      <c r="S165" s="18" t="n"/>
      <c r="T165" s="24">
        <f>IF(E165="","",E165-TODAY())</f>
        <v/>
      </c>
      <c r="U165" s="24">
        <f>IF(OR(M165="Paid",M165="Cancelled",E165=""),"",IF(E165&lt;TODAY(),"OVERDUE",IF(E165&lt;=TODAY()+'Setup &amp; Lists'!$M$7,"DUE SOON","")))</f>
        <v/>
      </c>
    </row>
    <row r="166">
      <c r="A166" s="18" t="n"/>
      <c r="B166" s="19" t="n"/>
      <c r="C166" s="19" t="n"/>
      <c r="D166" s="19" t="n"/>
      <c r="E166" s="20" t="n"/>
      <c r="F166" s="19" t="n"/>
      <c r="G166" s="19" t="n"/>
      <c r="H166" s="19" t="n"/>
      <c r="I166" s="21" t="n"/>
      <c r="J166" s="19" t="n"/>
      <c r="K166" s="21" t="n"/>
      <c r="L166" s="22">
        <f>IF(I166="","",MAX(0,I166-K166))</f>
        <v/>
      </c>
      <c r="M166" s="19" t="n"/>
      <c r="N166" s="18" t="n"/>
      <c r="O166" s="18" t="n"/>
      <c r="P166" s="23" t="n"/>
      <c r="Q166" s="18" t="n"/>
      <c r="R166" s="18" t="n"/>
      <c r="S166" s="18" t="n"/>
      <c r="T166" s="24">
        <f>IF(E166="","",E166-TODAY())</f>
        <v/>
      </c>
      <c r="U166" s="24">
        <f>IF(OR(M166="Paid",M166="Cancelled",E166=""),"",IF(E166&lt;TODAY(),"OVERDUE",IF(E166&lt;=TODAY()+'Setup &amp; Lists'!$M$7,"DUE SOON","")))</f>
        <v/>
      </c>
    </row>
    <row r="167">
      <c r="A167" s="18" t="n"/>
      <c r="B167" s="19" t="n"/>
      <c r="C167" s="19" t="n"/>
      <c r="D167" s="19" t="n"/>
      <c r="E167" s="20" t="n"/>
      <c r="F167" s="19" t="n"/>
      <c r="G167" s="19" t="n"/>
      <c r="H167" s="19" t="n"/>
      <c r="I167" s="21" t="n"/>
      <c r="J167" s="19" t="n"/>
      <c r="K167" s="21" t="n"/>
      <c r="L167" s="22">
        <f>IF(I167="","",MAX(0,I167-K167))</f>
        <v/>
      </c>
      <c r="M167" s="19" t="n"/>
      <c r="N167" s="18" t="n"/>
      <c r="O167" s="18" t="n"/>
      <c r="P167" s="23" t="n"/>
      <c r="Q167" s="18" t="n"/>
      <c r="R167" s="18" t="n"/>
      <c r="S167" s="18" t="n"/>
      <c r="T167" s="24">
        <f>IF(E167="","",E167-TODAY())</f>
        <v/>
      </c>
      <c r="U167" s="24">
        <f>IF(OR(M167="Paid",M167="Cancelled",E167=""),"",IF(E167&lt;TODAY(),"OVERDUE",IF(E167&lt;=TODAY()+'Setup &amp; Lists'!$M$7,"DUE SOON","")))</f>
        <v/>
      </c>
    </row>
    <row r="168">
      <c r="A168" s="18" t="n"/>
      <c r="B168" s="19" t="n"/>
      <c r="C168" s="19" t="n"/>
      <c r="D168" s="19" t="n"/>
      <c r="E168" s="20" t="n"/>
      <c r="F168" s="19" t="n"/>
      <c r="G168" s="19" t="n"/>
      <c r="H168" s="19" t="n"/>
      <c r="I168" s="21" t="n"/>
      <c r="J168" s="19" t="n"/>
      <c r="K168" s="21" t="n"/>
      <c r="L168" s="22">
        <f>IF(I168="","",MAX(0,I168-K168))</f>
        <v/>
      </c>
      <c r="M168" s="19" t="n"/>
      <c r="N168" s="18" t="n"/>
      <c r="O168" s="18" t="n"/>
      <c r="P168" s="23" t="n"/>
      <c r="Q168" s="18" t="n"/>
      <c r="R168" s="18" t="n"/>
      <c r="S168" s="18" t="n"/>
      <c r="T168" s="24">
        <f>IF(E168="","",E168-TODAY())</f>
        <v/>
      </c>
      <c r="U168" s="24">
        <f>IF(OR(M168="Paid",M168="Cancelled",E168=""),"",IF(E168&lt;TODAY(),"OVERDUE",IF(E168&lt;=TODAY()+'Setup &amp; Lists'!$M$7,"DUE SOON","")))</f>
        <v/>
      </c>
    </row>
    <row r="169">
      <c r="A169" s="18" t="n"/>
      <c r="B169" s="19" t="n"/>
      <c r="C169" s="19" t="n"/>
      <c r="D169" s="19" t="n"/>
      <c r="E169" s="20" t="n"/>
      <c r="F169" s="19" t="n"/>
      <c r="G169" s="19" t="n"/>
      <c r="H169" s="19" t="n"/>
      <c r="I169" s="21" t="n"/>
      <c r="J169" s="19" t="n"/>
      <c r="K169" s="21" t="n"/>
      <c r="L169" s="22">
        <f>IF(I169="","",MAX(0,I169-K169))</f>
        <v/>
      </c>
      <c r="M169" s="19" t="n"/>
      <c r="N169" s="18" t="n"/>
      <c r="O169" s="18" t="n"/>
      <c r="P169" s="23" t="n"/>
      <c r="Q169" s="18" t="n"/>
      <c r="R169" s="18" t="n"/>
      <c r="S169" s="18" t="n"/>
      <c r="T169" s="24">
        <f>IF(E169="","",E169-TODAY())</f>
        <v/>
      </c>
      <c r="U169" s="24">
        <f>IF(OR(M169="Paid",M169="Cancelled",E169=""),"",IF(E169&lt;TODAY(),"OVERDUE",IF(E169&lt;=TODAY()+'Setup &amp; Lists'!$M$7,"DUE SOON","")))</f>
        <v/>
      </c>
    </row>
    <row r="170">
      <c r="A170" s="18" t="n"/>
      <c r="B170" s="19" t="n"/>
      <c r="C170" s="19" t="n"/>
      <c r="D170" s="19" t="n"/>
      <c r="E170" s="20" t="n"/>
      <c r="F170" s="19" t="n"/>
      <c r="G170" s="19" t="n"/>
      <c r="H170" s="19" t="n"/>
      <c r="I170" s="21" t="n"/>
      <c r="J170" s="19" t="n"/>
      <c r="K170" s="21" t="n"/>
      <c r="L170" s="22">
        <f>IF(I170="","",MAX(0,I170-K170))</f>
        <v/>
      </c>
      <c r="M170" s="19" t="n"/>
      <c r="N170" s="18" t="n"/>
      <c r="O170" s="18" t="n"/>
      <c r="P170" s="23" t="n"/>
      <c r="Q170" s="18" t="n"/>
      <c r="R170" s="18" t="n"/>
      <c r="S170" s="18" t="n"/>
      <c r="T170" s="24">
        <f>IF(E170="","",E170-TODAY())</f>
        <v/>
      </c>
      <c r="U170" s="24">
        <f>IF(OR(M170="Paid",M170="Cancelled",E170=""),"",IF(E170&lt;TODAY(),"OVERDUE",IF(E170&lt;=TODAY()+'Setup &amp; Lists'!$M$7,"DUE SOON","")))</f>
        <v/>
      </c>
    </row>
    <row r="171">
      <c r="A171" s="18" t="n"/>
      <c r="B171" s="19" t="n"/>
      <c r="C171" s="19" t="n"/>
      <c r="D171" s="19" t="n"/>
      <c r="E171" s="20" t="n"/>
      <c r="F171" s="19" t="n"/>
      <c r="G171" s="19" t="n"/>
      <c r="H171" s="19" t="n"/>
      <c r="I171" s="21" t="n"/>
      <c r="J171" s="19" t="n"/>
      <c r="K171" s="21" t="n"/>
      <c r="L171" s="22">
        <f>IF(I171="","",MAX(0,I171-K171))</f>
        <v/>
      </c>
      <c r="M171" s="19" t="n"/>
      <c r="N171" s="18" t="n"/>
      <c r="O171" s="18" t="n"/>
      <c r="P171" s="23" t="n"/>
      <c r="Q171" s="18" t="n"/>
      <c r="R171" s="18" t="n"/>
      <c r="S171" s="18" t="n"/>
      <c r="T171" s="24">
        <f>IF(E171="","",E171-TODAY())</f>
        <v/>
      </c>
      <c r="U171" s="24">
        <f>IF(OR(M171="Paid",M171="Cancelled",E171=""),"",IF(E171&lt;TODAY(),"OVERDUE",IF(E171&lt;=TODAY()+'Setup &amp; Lists'!$M$7,"DUE SOON","")))</f>
        <v/>
      </c>
    </row>
    <row r="172">
      <c r="A172" s="18" t="n"/>
      <c r="B172" s="19" t="n"/>
      <c r="C172" s="19" t="n"/>
      <c r="D172" s="19" t="n"/>
      <c r="E172" s="20" t="n"/>
      <c r="F172" s="19" t="n"/>
      <c r="G172" s="19" t="n"/>
      <c r="H172" s="19" t="n"/>
      <c r="I172" s="21" t="n"/>
      <c r="J172" s="19" t="n"/>
      <c r="K172" s="21" t="n"/>
      <c r="L172" s="22">
        <f>IF(I172="","",MAX(0,I172-K172))</f>
        <v/>
      </c>
      <c r="M172" s="19" t="n"/>
      <c r="N172" s="18" t="n"/>
      <c r="O172" s="18" t="n"/>
      <c r="P172" s="23" t="n"/>
      <c r="Q172" s="18" t="n"/>
      <c r="R172" s="18" t="n"/>
      <c r="S172" s="18" t="n"/>
      <c r="T172" s="24">
        <f>IF(E172="","",E172-TODAY())</f>
        <v/>
      </c>
      <c r="U172" s="24">
        <f>IF(OR(M172="Paid",M172="Cancelled",E172=""),"",IF(E172&lt;TODAY(),"OVERDUE",IF(E172&lt;=TODAY()+'Setup &amp; Lists'!$M$7,"DUE SOON","")))</f>
        <v/>
      </c>
    </row>
    <row r="173">
      <c r="A173" s="18" t="n"/>
      <c r="B173" s="19" t="n"/>
      <c r="C173" s="19" t="n"/>
      <c r="D173" s="19" t="n"/>
      <c r="E173" s="20" t="n"/>
      <c r="F173" s="19" t="n"/>
      <c r="G173" s="19" t="n"/>
      <c r="H173" s="19" t="n"/>
      <c r="I173" s="21" t="n"/>
      <c r="J173" s="19" t="n"/>
      <c r="K173" s="21" t="n"/>
      <c r="L173" s="22">
        <f>IF(I173="","",MAX(0,I173-K173))</f>
        <v/>
      </c>
      <c r="M173" s="19" t="n"/>
      <c r="N173" s="18" t="n"/>
      <c r="O173" s="18" t="n"/>
      <c r="P173" s="23" t="n"/>
      <c r="Q173" s="18" t="n"/>
      <c r="R173" s="18" t="n"/>
      <c r="S173" s="18" t="n"/>
      <c r="T173" s="24">
        <f>IF(E173="","",E173-TODAY())</f>
        <v/>
      </c>
      <c r="U173" s="24">
        <f>IF(OR(M173="Paid",M173="Cancelled",E173=""),"",IF(E173&lt;TODAY(),"OVERDUE",IF(E173&lt;=TODAY()+'Setup &amp; Lists'!$M$7,"DUE SOON","")))</f>
        <v/>
      </c>
    </row>
    <row r="174">
      <c r="A174" s="18" t="n"/>
      <c r="B174" s="19" t="n"/>
      <c r="C174" s="19" t="n"/>
      <c r="D174" s="19" t="n"/>
      <c r="E174" s="20" t="n"/>
      <c r="F174" s="19" t="n"/>
      <c r="G174" s="19" t="n"/>
      <c r="H174" s="19" t="n"/>
      <c r="I174" s="21" t="n"/>
      <c r="J174" s="19" t="n"/>
      <c r="K174" s="21" t="n"/>
      <c r="L174" s="22">
        <f>IF(I174="","",MAX(0,I174-K174))</f>
        <v/>
      </c>
      <c r="M174" s="19" t="n"/>
      <c r="N174" s="18" t="n"/>
      <c r="O174" s="18" t="n"/>
      <c r="P174" s="23" t="n"/>
      <c r="Q174" s="18" t="n"/>
      <c r="R174" s="18" t="n"/>
      <c r="S174" s="18" t="n"/>
      <c r="T174" s="24">
        <f>IF(E174="","",E174-TODAY())</f>
        <v/>
      </c>
      <c r="U174" s="24">
        <f>IF(OR(M174="Paid",M174="Cancelled",E174=""),"",IF(E174&lt;TODAY(),"OVERDUE",IF(E174&lt;=TODAY()+'Setup &amp; Lists'!$M$7,"DUE SOON","")))</f>
        <v/>
      </c>
    </row>
    <row r="175">
      <c r="A175" s="18" t="n"/>
      <c r="B175" s="19" t="n"/>
      <c r="C175" s="19" t="n"/>
      <c r="D175" s="19" t="n"/>
      <c r="E175" s="20" t="n"/>
      <c r="F175" s="19" t="n"/>
      <c r="G175" s="19" t="n"/>
      <c r="H175" s="19" t="n"/>
      <c r="I175" s="21" t="n"/>
      <c r="J175" s="19" t="n"/>
      <c r="K175" s="21" t="n"/>
      <c r="L175" s="22">
        <f>IF(I175="","",MAX(0,I175-K175))</f>
        <v/>
      </c>
      <c r="M175" s="19" t="n"/>
      <c r="N175" s="18" t="n"/>
      <c r="O175" s="18" t="n"/>
      <c r="P175" s="23" t="n"/>
      <c r="Q175" s="18" t="n"/>
      <c r="R175" s="18" t="n"/>
      <c r="S175" s="18" t="n"/>
      <c r="T175" s="24">
        <f>IF(E175="","",E175-TODAY())</f>
        <v/>
      </c>
      <c r="U175" s="24">
        <f>IF(OR(M175="Paid",M175="Cancelled",E175=""),"",IF(E175&lt;TODAY(),"OVERDUE",IF(E175&lt;=TODAY()+'Setup &amp; Lists'!$M$7,"DUE SOON","")))</f>
        <v/>
      </c>
    </row>
    <row r="176">
      <c r="A176" s="18" t="n"/>
      <c r="B176" s="19" t="n"/>
      <c r="C176" s="19" t="n"/>
      <c r="D176" s="19" t="n"/>
      <c r="E176" s="20" t="n"/>
      <c r="F176" s="19" t="n"/>
      <c r="G176" s="19" t="n"/>
      <c r="H176" s="19" t="n"/>
      <c r="I176" s="21" t="n"/>
      <c r="J176" s="19" t="n"/>
      <c r="K176" s="21" t="n"/>
      <c r="L176" s="22">
        <f>IF(I176="","",MAX(0,I176-K176))</f>
        <v/>
      </c>
      <c r="M176" s="19" t="n"/>
      <c r="N176" s="18" t="n"/>
      <c r="O176" s="18" t="n"/>
      <c r="P176" s="23" t="n"/>
      <c r="Q176" s="18" t="n"/>
      <c r="R176" s="18" t="n"/>
      <c r="S176" s="18" t="n"/>
      <c r="T176" s="24">
        <f>IF(E176="","",E176-TODAY())</f>
        <v/>
      </c>
      <c r="U176" s="24">
        <f>IF(OR(M176="Paid",M176="Cancelled",E176=""),"",IF(E176&lt;TODAY(),"OVERDUE",IF(E176&lt;=TODAY()+'Setup &amp; Lists'!$M$7,"DUE SOON","")))</f>
        <v/>
      </c>
    </row>
    <row r="177">
      <c r="A177" s="18" t="n"/>
      <c r="B177" s="19" t="n"/>
      <c r="C177" s="19" t="n"/>
      <c r="D177" s="19" t="n"/>
      <c r="E177" s="20" t="n"/>
      <c r="F177" s="19" t="n"/>
      <c r="G177" s="19" t="n"/>
      <c r="H177" s="19" t="n"/>
      <c r="I177" s="21" t="n"/>
      <c r="J177" s="19" t="n"/>
      <c r="K177" s="21" t="n"/>
      <c r="L177" s="22">
        <f>IF(I177="","",MAX(0,I177-K177))</f>
        <v/>
      </c>
      <c r="M177" s="19" t="n"/>
      <c r="N177" s="18" t="n"/>
      <c r="O177" s="18" t="n"/>
      <c r="P177" s="23" t="n"/>
      <c r="Q177" s="18" t="n"/>
      <c r="R177" s="18" t="n"/>
      <c r="S177" s="18" t="n"/>
      <c r="T177" s="24">
        <f>IF(E177="","",E177-TODAY())</f>
        <v/>
      </c>
      <c r="U177" s="24">
        <f>IF(OR(M177="Paid",M177="Cancelled",E177=""),"",IF(E177&lt;TODAY(),"OVERDUE",IF(E177&lt;=TODAY()+'Setup &amp; Lists'!$M$7,"DUE SOON","")))</f>
        <v/>
      </c>
    </row>
    <row r="178">
      <c r="A178" s="18" t="n"/>
      <c r="B178" s="19" t="n"/>
      <c r="C178" s="19" t="n"/>
      <c r="D178" s="19" t="n"/>
      <c r="E178" s="20" t="n"/>
      <c r="F178" s="19" t="n"/>
      <c r="G178" s="19" t="n"/>
      <c r="H178" s="19" t="n"/>
      <c r="I178" s="21" t="n"/>
      <c r="J178" s="19" t="n"/>
      <c r="K178" s="21" t="n"/>
      <c r="L178" s="22">
        <f>IF(I178="","",MAX(0,I178-K178))</f>
        <v/>
      </c>
      <c r="M178" s="19" t="n"/>
      <c r="N178" s="18" t="n"/>
      <c r="O178" s="18" t="n"/>
      <c r="P178" s="23" t="n"/>
      <c r="Q178" s="18" t="n"/>
      <c r="R178" s="18" t="n"/>
      <c r="S178" s="18" t="n"/>
      <c r="T178" s="24">
        <f>IF(E178="","",E178-TODAY())</f>
        <v/>
      </c>
      <c r="U178" s="24">
        <f>IF(OR(M178="Paid",M178="Cancelled",E178=""),"",IF(E178&lt;TODAY(),"OVERDUE",IF(E178&lt;=TODAY()+'Setup &amp; Lists'!$M$7,"DUE SOON","")))</f>
        <v/>
      </c>
    </row>
    <row r="179">
      <c r="A179" s="18" t="n"/>
      <c r="B179" s="19" t="n"/>
      <c r="C179" s="19" t="n"/>
      <c r="D179" s="19" t="n"/>
      <c r="E179" s="20" t="n"/>
      <c r="F179" s="19" t="n"/>
      <c r="G179" s="19" t="n"/>
      <c r="H179" s="19" t="n"/>
      <c r="I179" s="21" t="n"/>
      <c r="J179" s="19" t="n"/>
      <c r="K179" s="21" t="n"/>
      <c r="L179" s="22">
        <f>IF(I179="","",MAX(0,I179-K179))</f>
        <v/>
      </c>
      <c r="M179" s="19" t="n"/>
      <c r="N179" s="18" t="n"/>
      <c r="O179" s="18" t="n"/>
      <c r="P179" s="23" t="n"/>
      <c r="Q179" s="18" t="n"/>
      <c r="R179" s="18" t="n"/>
      <c r="S179" s="18" t="n"/>
      <c r="T179" s="24">
        <f>IF(E179="","",E179-TODAY())</f>
        <v/>
      </c>
      <c r="U179" s="24">
        <f>IF(OR(M179="Paid",M179="Cancelled",E179=""),"",IF(E179&lt;TODAY(),"OVERDUE",IF(E179&lt;=TODAY()+'Setup &amp; Lists'!$M$7,"DUE SOON","")))</f>
        <v/>
      </c>
    </row>
    <row r="180">
      <c r="A180" s="18" t="n"/>
      <c r="B180" s="19" t="n"/>
      <c r="C180" s="19" t="n"/>
      <c r="D180" s="19" t="n"/>
      <c r="E180" s="20" t="n"/>
      <c r="F180" s="19" t="n"/>
      <c r="G180" s="19" t="n"/>
      <c r="H180" s="19" t="n"/>
      <c r="I180" s="21" t="n"/>
      <c r="J180" s="19" t="n"/>
      <c r="K180" s="21" t="n"/>
      <c r="L180" s="22">
        <f>IF(I180="","",MAX(0,I180-K180))</f>
        <v/>
      </c>
      <c r="M180" s="19" t="n"/>
      <c r="N180" s="18" t="n"/>
      <c r="O180" s="18" t="n"/>
      <c r="P180" s="23" t="n"/>
      <c r="Q180" s="18" t="n"/>
      <c r="R180" s="18" t="n"/>
      <c r="S180" s="18" t="n"/>
      <c r="T180" s="24">
        <f>IF(E180="","",E180-TODAY())</f>
        <v/>
      </c>
      <c r="U180" s="24">
        <f>IF(OR(M180="Paid",M180="Cancelled",E180=""),"",IF(E180&lt;TODAY(),"OVERDUE",IF(E180&lt;=TODAY()+'Setup &amp; Lists'!$M$7,"DUE SOON","")))</f>
        <v/>
      </c>
    </row>
    <row r="181">
      <c r="A181" s="18" t="n"/>
      <c r="B181" s="19" t="n"/>
      <c r="C181" s="19" t="n"/>
      <c r="D181" s="19" t="n"/>
      <c r="E181" s="20" t="n"/>
      <c r="F181" s="19" t="n"/>
      <c r="G181" s="19" t="n"/>
      <c r="H181" s="19" t="n"/>
      <c r="I181" s="21" t="n"/>
      <c r="J181" s="19" t="n"/>
      <c r="K181" s="21" t="n"/>
      <c r="L181" s="22">
        <f>IF(I181="","",MAX(0,I181-K181))</f>
        <v/>
      </c>
      <c r="M181" s="19" t="n"/>
      <c r="N181" s="18" t="n"/>
      <c r="O181" s="18" t="n"/>
      <c r="P181" s="23" t="n"/>
      <c r="Q181" s="18" t="n"/>
      <c r="R181" s="18" t="n"/>
      <c r="S181" s="18" t="n"/>
      <c r="T181" s="24">
        <f>IF(E181="","",E181-TODAY())</f>
        <v/>
      </c>
      <c r="U181" s="24">
        <f>IF(OR(M181="Paid",M181="Cancelled",E181=""),"",IF(E181&lt;TODAY(),"OVERDUE",IF(E181&lt;=TODAY()+'Setup &amp; Lists'!$M$7,"DUE SOON","")))</f>
        <v/>
      </c>
    </row>
    <row r="182">
      <c r="A182" s="18" t="n"/>
      <c r="B182" s="19" t="n"/>
      <c r="C182" s="19" t="n"/>
      <c r="D182" s="19" t="n"/>
      <c r="E182" s="20" t="n"/>
      <c r="F182" s="19" t="n"/>
      <c r="G182" s="19" t="n"/>
      <c r="H182" s="19" t="n"/>
      <c r="I182" s="21" t="n"/>
      <c r="J182" s="19" t="n"/>
      <c r="K182" s="21" t="n"/>
      <c r="L182" s="22">
        <f>IF(I182="","",MAX(0,I182-K182))</f>
        <v/>
      </c>
      <c r="M182" s="19" t="n"/>
      <c r="N182" s="18" t="n"/>
      <c r="O182" s="18" t="n"/>
      <c r="P182" s="23" t="n"/>
      <c r="Q182" s="18" t="n"/>
      <c r="R182" s="18" t="n"/>
      <c r="S182" s="18" t="n"/>
      <c r="T182" s="24">
        <f>IF(E182="","",E182-TODAY())</f>
        <v/>
      </c>
      <c r="U182" s="24">
        <f>IF(OR(M182="Paid",M182="Cancelled",E182=""),"",IF(E182&lt;TODAY(),"OVERDUE",IF(E182&lt;=TODAY()+'Setup &amp; Lists'!$M$7,"DUE SOON","")))</f>
        <v/>
      </c>
    </row>
    <row r="183">
      <c r="A183" s="18" t="n"/>
      <c r="B183" s="19" t="n"/>
      <c r="C183" s="19" t="n"/>
      <c r="D183" s="19" t="n"/>
      <c r="E183" s="20" t="n"/>
      <c r="F183" s="19" t="n"/>
      <c r="G183" s="19" t="n"/>
      <c r="H183" s="19" t="n"/>
      <c r="I183" s="21" t="n"/>
      <c r="J183" s="19" t="n"/>
      <c r="K183" s="21" t="n"/>
      <c r="L183" s="22">
        <f>IF(I183="","",MAX(0,I183-K183))</f>
        <v/>
      </c>
      <c r="M183" s="19" t="n"/>
      <c r="N183" s="18" t="n"/>
      <c r="O183" s="18" t="n"/>
      <c r="P183" s="23" t="n"/>
      <c r="Q183" s="18" t="n"/>
      <c r="R183" s="18" t="n"/>
      <c r="S183" s="18" t="n"/>
      <c r="T183" s="24">
        <f>IF(E183="","",E183-TODAY())</f>
        <v/>
      </c>
      <c r="U183" s="24">
        <f>IF(OR(M183="Paid",M183="Cancelled",E183=""),"",IF(E183&lt;TODAY(),"OVERDUE",IF(E183&lt;=TODAY()+'Setup &amp; Lists'!$M$7,"DUE SOON","")))</f>
        <v/>
      </c>
    </row>
    <row r="184">
      <c r="A184" s="18" t="n"/>
      <c r="B184" s="19" t="n"/>
      <c r="C184" s="19" t="n"/>
      <c r="D184" s="19" t="n"/>
      <c r="E184" s="20" t="n"/>
      <c r="F184" s="19" t="n"/>
      <c r="G184" s="19" t="n"/>
      <c r="H184" s="19" t="n"/>
      <c r="I184" s="21" t="n"/>
      <c r="J184" s="19" t="n"/>
      <c r="K184" s="21" t="n"/>
      <c r="L184" s="22">
        <f>IF(I184="","",MAX(0,I184-K184))</f>
        <v/>
      </c>
      <c r="M184" s="19" t="n"/>
      <c r="N184" s="18" t="n"/>
      <c r="O184" s="18" t="n"/>
      <c r="P184" s="23" t="n"/>
      <c r="Q184" s="18" t="n"/>
      <c r="R184" s="18" t="n"/>
      <c r="S184" s="18" t="n"/>
      <c r="T184" s="24">
        <f>IF(E184="","",E184-TODAY())</f>
        <v/>
      </c>
      <c r="U184" s="24">
        <f>IF(OR(M184="Paid",M184="Cancelled",E184=""),"",IF(E184&lt;TODAY(),"OVERDUE",IF(E184&lt;=TODAY()+'Setup &amp; Lists'!$M$7,"DUE SOON","")))</f>
        <v/>
      </c>
    </row>
    <row r="185">
      <c r="A185" s="18" t="n"/>
      <c r="B185" s="19" t="n"/>
      <c r="C185" s="19" t="n"/>
      <c r="D185" s="19" t="n"/>
      <c r="E185" s="20" t="n"/>
      <c r="F185" s="19" t="n"/>
      <c r="G185" s="19" t="n"/>
      <c r="H185" s="19" t="n"/>
      <c r="I185" s="21" t="n"/>
      <c r="J185" s="19" t="n"/>
      <c r="K185" s="21" t="n"/>
      <c r="L185" s="22">
        <f>IF(I185="","",MAX(0,I185-K185))</f>
        <v/>
      </c>
      <c r="M185" s="19" t="n"/>
      <c r="N185" s="18" t="n"/>
      <c r="O185" s="18" t="n"/>
      <c r="P185" s="23" t="n"/>
      <c r="Q185" s="18" t="n"/>
      <c r="R185" s="18" t="n"/>
      <c r="S185" s="18" t="n"/>
      <c r="T185" s="24">
        <f>IF(E185="","",E185-TODAY())</f>
        <v/>
      </c>
      <c r="U185" s="24">
        <f>IF(OR(M185="Paid",M185="Cancelled",E185=""),"",IF(E185&lt;TODAY(),"OVERDUE",IF(E185&lt;=TODAY()+'Setup &amp; Lists'!$M$7,"DUE SOON","")))</f>
        <v/>
      </c>
    </row>
    <row r="186">
      <c r="A186" s="18" t="n"/>
      <c r="B186" s="19" t="n"/>
      <c r="C186" s="19" t="n"/>
      <c r="D186" s="19" t="n"/>
      <c r="E186" s="20" t="n"/>
      <c r="F186" s="19" t="n"/>
      <c r="G186" s="19" t="n"/>
      <c r="H186" s="19" t="n"/>
      <c r="I186" s="21" t="n"/>
      <c r="J186" s="19" t="n"/>
      <c r="K186" s="21" t="n"/>
      <c r="L186" s="22">
        <f>IF(I186="","",MAX(0,I186-K186))</f>
        <v/>
      </c>
      <c r="M186" s="19" t="n"/>
      <c r="N186" s="18" t="n"/>
      <c r="O186" s="18" t="n"/>
      <c r="P186" s="23" t="n"/>
      <c r="Q186" s="18" t="n"/>
      <c r="R186" s="18" t="n"/>
      <c r="S186" s="18" t="n"/>
      <c r="T186" s="24">
        <f>IF(E186="","",E186-TODAY())</f>
        <v/>
      </c>
      <c r="U186" s="24">
        <f>IF(OR(M186="Paid",M186="Cancelled",E186=""),"",IF(E186&lt;TODAY(),"OVERDUE",IF(E186&lt;=TODAY()+'Setup &amp; Lists'!$M$7,"DUE SOON","")))</f>
        <v/>
      </c>
    </row>
    <row r="187">
      <c r="A187" s="18" t="n"/>
      <c r="B187" s="19" t="n"/>
      <c r="C187" s="19" t="n"/>
      <c r="D187" s="19" t="n"/>
      <c r="E187" s="20" t="n"/>
      <c r="F187" s="19" t="n"/>
      <c r="G187" s="19" t="n"/>
      <c r="H187" s="19" t="n"/>
      <c r="I187" s="21" t="n"/>
      <c r="J187" s="19" t="n"/>
      <c r="K187" s="21" t="n"/>
      <c r="L187" s="22">
        <f>IF(I187="","",MAX(0,I187-K187))</f>
        <v/>
      </c>
      <c r="M187" s="19" t="n"/>
      <c r="N187" s="18" t="n"/>
      <c r="O187" s="18" t="n"/>
      <c r="P187" s="23" t="n"/>
      <c r="Q187" s="18" t="n"/>
      <c r="R187" s="18" t="n"/>
      <c r="S187" s="18" t="n"/>
      <c r="T187" s="24">
        <f>IF(E187="","",E187-TODAY())</f>
        <v/>
      </c>
      <c r="U187" s="24">
        <f>IF(OR(M187="Paid",M187="Cancelled",E187=""),"",IF(E187&lt;TODAY(),"OVERDUE",IF(E187&lt;=TODAY()+'Setup &amp; Lists'!$M$7,"DUE SOON","")))</f>
        <v/>
      </c>
    </row>
    <row r="188">
      <c r="A188" s="18" t="n"/>
      <c r="B188" s="19" t="n"/>
      <c r="C188" s="19" t="n"/>
      <c r="D188" s="19" t="n"/>
      <c r="E188" s="20" t="n"/>
      <c r="F188" s="19" t="n"/>
      <c r="G188" s="19" t="n"/>
      <c r="H188" s="19" t="n"/>
      <c r="I188" s="21" t="n"/>
      <c r="J188" s="19" t="n"/>
      <c r="K188" s="21" t="n"/>
      <c r="L188" s="22">
        <f>IF(I188="","",MAX(0,I188-K188))</f>
        <v/>
      </c>
      <c r="M188" s="19" t="n"/>
      <c r="N188" s="18" t="n"/>
      <c r="O188" s="18" t="n"/>
      <c r="P188" s="23" t="n"/>
      <c r="Q188" s="18" t="n"/>
      <c r="R188" s="18" t="n"/>
      <c r="S188" s="18" t="n"/>
      <c r="T188" s="24">
        <f>IF(E188="","",E188-TODAY())</f>
        <v/>
      </c>
      <c r="U188" s="24">
        <f>IF(OR(M188="Paid",M188="Cancelled",E188=""),"",IF(E188&lt;TODAY(),"OVERDUE",IF(E188&lt;=TODAY()+'Setup &amp; Lists'!$M$7,"DUE SOON","")))</f>
        <v/>
      </c>
    </row>
    <row r="189">
      <c r="A189" s="18" t="n"/>
      <c r="B189" s="19" t="n"/>
      <c r="C189" s="19" t="n"/>
      <c r="D189" s="19" t="n"/>
      <c r="E189" s="20" t="n"/>
      <c r="F189" s="19" t="n"/>
      <c r="G189" s="19" t="n"/>
      <c r="H189" s="19" t="n"/>
      <c r="I189" s="21" t="n"/>
      <c r="J189" s="19" t="n"/>
      <c r="K189" s="21" t="n"/>
      <c r="L189" s="22">
        <f>IF(I189="","",MAX(0,I189-K189))</f>
        <v/>
      </c>
      <c r="M189" s="19" t="n"/>
      <c r="N189" s="18" t="n"/>
      <c r="O189" s="18" t="n"/>
      <c r="P189" s="23" t="n"/>
      <c r="Q189" s="18" t="n"/>
      <c r="R189" s="18" t="n"/>
      <c r="S189" s="18" t="n"/>
      <c r="T189" s="24">
        <f>IF(E189="","",E189-TODAY())</f>
        <v/>
      </c>
      <c r="U189" s="24">
        <f>IF(OR(M189="Paid",M189="Cancelled",E189=""),"",IF(E189&lt;TODAY(),"OVERDUE",IF(E189&lt;=TODAY()+'Setup &amp; Lists'!$M$7,"DUE SOON","")))</f>
        <v/>
      </c>
    </row>
    <row r="190">
      <c r="A190" s="18" t="n"/>
      <c r="B190" s="19" t="n"/>
      <c r="C190" s="19" t="n"/>
      <c r="D190" s="19" t="n"/>
      <c r="E190" s="20" t="n"/>
      <c r="F190" s="19" t="n"/>
      <c r="G190" s="19" t="n"/>
      <c r="H190" s="19" t="n"/>
      <c r="I190" s="21" t="n"/>
      <c r="J190" s="19" t="n"/>
      <c r="K190" s="21" t="n"/>
      <c r="L190" s="22">
        <f>IF(I190="","",MAX(0,I190-K190))</f>
        <v/>
      </c>
      <c r="M190" s="19" t="n"/>
      <c r="N190" s="18" t="n"/>
      <c r="O190" s="18" t="n"/>
      <c r="P190" s="23" t="n"/>
      <c r="Q190" s="18" t="n"/>
      <c r="R190" s="18" t="n"/>
      <c r="S190" s="18" t="n"/>
      <c r="T190" s="24">
        <f>IF(E190="","",E190-TODAY())</f>
        <v/>
      </c>
      <c r="U190" s="24">
        <f>IF(OR(M190="Paid",M190="Cancelled",E190=""),"",IF(E190&lt;TODAY(),"OVERDUE",IF(E190&lt;=TODAY()+'Setup &amp; Lists'!$M$7,"DUE SOON","")))</f>
        <v/>
      </c>
    </row>
    <row r="191">
      <c r="A191" s="18" t="n"/>
      <c r="B191" s="19" t="n"/>
      <c r="C191" s="19" t="n"/>
      <c r="D191" s="19" t="n"/>
      <c r="E191" s="20" t="n"/>
      <c r="F191" s="19" t="n"/>
      <c r="G191" s="19" t="n"/>
      <c r="H191" s="19" t="n"/>
      <c r="I191" s="21" t="n"/>
      <c r="J191" s="19" t="n"/>
      <c r="K191" s="21" t="n"/>
      <c r="L191" s="22">
        <f>IF(I191="","",MAX(0,I191-K191))</f>
        <v/>
      </c>
      <c r="M191" s="19" t="n"/>
      <c r="N191" s="18" t="n"/>
      <c r="O191" s="18" t="n"/>
      <c r="P191" s="23" t="n"/>
      <c r="Q191" s="18" t="n"/>
      <c r="R191" s="18" t="n"/>
      <c r="S191" s="18" t="n"/>
      <c r="T191" s="24">
        <f>IF(E191="","",E191-TODAY())</f>
        <v/>
      </c>
      <c r="U191" s="24">
        <f>IF(OR(M191="Paid",M191="Cancelled",E191=""),"",IF(E191&lt;TODAY(),"OVERDUE",IF(E191&lt;=TODAY()+'Setup &amp; Lists'!$M$7,"DUE SOON","")))</f>
        <v/>
      </c>
    </row>
    <row r="192">
      <c r="A192" s="18" t="n"/>
      <c r="B192" s="19" t="n"/>
      <c r="C192" s="19" t="n"/>
      <c r="D192" s="19" t="n"/>
      <c r="E192" s="20" t="n"/>
      <c r="F192" s="19" t="n"/>
      <c r="G192" s="19" t="n"/>
      <c r="H192" s="19" t="n"/>
      <c r="I192" s="21" t="n"/>
      <c r="J192" s="19" t="n"/>
      <c r="K192" s="21" t="n"/>
      <c r="L192" s="22">
        <f>IF(I192="","",MAX(0,I192-K192))</f>
        <v/>
      </c>
      <c r="M192" s="19" t="n"/>
      <c r="N192" s="18" t="n"/>
      <c r="O192" s="18" t="n"/>
      <c r="P192" s="23" t="n"/>
      <c r="Q192" s="18" t="n"/>
      <c r="R192" s="18" t="n"/>
      <c r="S192" s="18" t="n"/>
      <c r="T192" s="24">
        <f>IF(E192="","",E192-TODAY())</f>
        <v/>
      </c>
      <c r="U192" s="24">
        <f>IF(OR(M192="Paid",M192="Cancelled",E192=""),"",IF(E192&lt;TODAY(),"OVERDUE",IF(E192&lt;=TODAY()+'Setup &amp; Lists'!$M$7,"DUE SOON","")))</f>
        <v/>
      </c>
    </row>
    <row r="193">
      <c r="A193" s="18" t="n"/>
      <c r="B193" s="19" t="n"/>
      <c r="C193" s="19" t="n"/>
      <c r="D193" s="19" t="n"/>
      <c r="E193" s="20" t="n"/>
      <c r="F193" s="19" t="n"/>
      <c r="G193" s="19" t="n"/>
      <c r="H193" s="19" t="n"/>
      <c r="I193" s="21" t="n"/>
      <c r="J193" s="19" t="n"/>
      <c r="K193" s="21" t="n"/>
      <c r="L193" s="22">
        <f>IF(I193="","",MAX(0,I193-K193))</f>
        <v/>
      </c>
      <c r="M193" s="19" t="n"/>
      <c r="N193" s="18" t="n"/>
      <c r="O193" s="18" t="n"/>
      <c r="P193" s="23" t="n"/>
      <c r="Q193" s="18" t="n"/>
      <c r="R193" s="18" t="n"/>
      <c r="S193" s="18" t="n"/>
      <c r="T193" s="24">
        <f>IF(E193="","",E193-TODAY())</f>
        <v/>
      </c>
      <c r="U193" s="24">
        <f>IF(OR(M193="Paid",M193="Cancelled",E193=""),"",IF(E193&lt;TODAY(),"OVERDUE",IF(E193&lt;=TODAY()+'Setup &amp; Lists'!$M$7,"DUE SOON","")))</f>
        <v/>
      </c>
    </row>
    <row r="194">
      <c r="A194" s="18" t="n"/>
      <c r="B194" s="19" t="n"/>
      <c r="C194" s="19" t="n"/>
      <c r="D194" s="19" t="n"/>
      <c r="E194" s="20" t="n"/>
      <c r="F194" s="19" t="n"/>
      <c r="G194" s="19" t="n"/>
      <c r="H194" s="19" t="n"/>
      <c r="I194" s="21" t="n"/>
      <c r="J194" s="19" t="n"/>
      <c r="K194" s="21" t="n"/>
      <c r="L194" s="22">
        <f>IF(I194="","",MAX(0,I194-K194))</f>
        <v/>
      </c>
      <c r="M194" s="19" t="n"/>
      <c r="N194" s="18" t="n"/>
      <c r="O194" s="18" t="n"/>
      <c r="P194" s="23" t="n"/>
      <c r="Q194" s="18" t="n"/>
      <c r="R194" s="18" t="n"/>
      <c r="S194" s="18" t="n"/>
      <c r="T194" s="24">
        <f>IF(E194="","",E194-TODAY())</f>
        <v/>
      </c>
      <c r="U194" s="24">
        <f>IF(OR(M194="Paid",M194="Cancelled",E194=""),"",IF(E194&lt;TODAY(),"OVERDUE",IF(E194&lt;=TODAY()+'Setup &amp; Lists'!$M$7,"DUE SOON","")))</f>
        <v/>
      </c>
    </row>
    <row r="195">
      <c r="A195" s="18" t="n"/>
      <c r="B195" s="19" t="n"/>
      <c r="C195" s="19" t="n"/>
      <c r="D195" s="19" t="n"/>
      <c r="E195" s="20" t="n"/>
      <c r="F195" s="19" t="n"/>
      <c r="G195" s="19" t="n"/>
      <c r="H195" s="19" t="n"/>
      <c r="I195" s="21" t="n"/>
      <c r="J195" s="19" t="n"/>
      <c r="K195" s="21" t="n"/>
      <c r="L195" s="22">
        <f>IF(I195="","",MAX(0,I195-K195))</f>
        <v/>
      </c>
      <c r="M195" s="19" t="n"/>
      <c r="N195" s="18" t="n"/>
      <c r="O195" s="18" t="n"/>
      <c r="P195" s="23" t="n"/>
      <c r="Q195" s="18" t="n"/>
      <c r="R195" s="18" t="n"/>
      <c r="S195" s="18" t="n"/>
      <c r="T195" s="24">
        <f>IF(E195="","",E195-TODAY())</f>
        <v/>
      </c>
      <c r="U195" s="24">
        <f>IF(OR(M195="Paid",M195="Cancelled",E195=""),"",IF(E195&lt;TODAY(),"OVERDUE",IF(E195&lt;=TODAY()+'Setup &amp; Lists'!$M$7,"DUE SOON","")))</f>
        <v/>
      </c>
    </row>
    <row r="196">
      <c r="A196" s="18" t="n"/>
      <c r="B196" s="19" t="n"/>
      <c r="C196" s="19" t="n"/>
      <c r="D196" s="19" t="n"/>
      <c r="E196" s="20" t="n"/>
      <c r="F196" s="19" t="n"/>
      <c r="G196" s="19" t="n"/>
      <c r="H196" s="19" t="n"/>
      <c r="I196" s="21" t="n"/>
      <c r="J196" s="19" t="n"/>
      <c r="K196" s="21" t="n"/>
      <c r="L196" s="22">
        <f>IF(I196="","",MAX(0,I196-K196))</f>
        <v/>
      </c>
      <c r="M196" s="19" t="n"/>
      <c r="N196" s="18" t="n"/>
      <c r="O196" s="18" t="n"/>
      <c r="P196" s="23" t="n"/>
      <c r="Q196" s="18" t="n"/>
      <c r="R196" s="18" t="n"/>
      <c r="S196" s="18" t="n"/>
      <c r="T196" s="24">
        <f>IF(E196="","",E196-TODAY())</f>
        <v/>
      </c>
      <c r="U196" s="24">
        <f>IF(OR(M196="Paid",M196="Cancelled",E196=""),"",IF(E196&lt;TODAY(),"OVERDUE",IF(E196&lt;=TODAY()+'Setup &amp; Lists'!$M$7,"DUE SOON","")))</f>
        <v/>
      </c>
    </row>
    <row r="197">
      <c r="A197" s="18" t="n"/>
      <c r="B197" s="19" t="n"/>
      <c r="C197" s="19" t="n"/>
      <c r="D197" s="19" t="n"/>
      <c r="E197" s="20" t="n"/>
      <c r="F197" s="19" t="n"/>
      <c r="G197" s="19" t="n"/>
      <c r="H197" s="19" t="n"/>
      <c r="I197" s="21" t="n"/>
      <c r="J197" s="19" t="n"/>
      <c r="K197" s="21" t="n"/>
      <c r="L197" s="22">
        <f>IF(I197="","",MAX(0,I197-K197))</f>
        <v/>
      </c>
      <c r="M197" s="19" t="n"/>
      <c r="N197" s="18" t="n"/>
      <c r="O197" s="18" t="n"/>
      <c r="P197" s="23" t="n"/>
      <c r="Q197" s="18" t="n"/>
      <c r="R197" s="18" t="n"/>
      <c r="S197" s="18" t="n"/>
      <c r="T197" s="24">
        <f>IF(E197="","",E197-TODAY())</f>
        <v/>
      </c>
      <c r="U197" s="24">
        <f>IF(OR(M197="Paid",M197="Cancelled",E197=""),"",IF(E197&lt;TODAY(),"OVERDUE",IF(E197&lt;=TODAY()+'Setup &amp; Lists'!$M$7,"DUE SOON","")))</f>
        <v/>
      </c>
    </row>
    <row r="198">
      <c r="A198" s="18" t="n"/>
      <c r="B198" s="19" t="n"/>
      <c r="C198" s="19" t="n"/>
      <c r="D198" s="19" t="n"/>
      <c r="E198" s="20" t="n"/>
      <c r="F198" s="19" t="n"/>
      <c r="G198" s="19" t="n"/>
      <c r="H198" s="19" t="n"/>
      <c r="I198" s="21" t="n"/>
      <c r="J198" s="19" t="n"/>
      <c r="K198" s="21" t="n"/>
      <c r="L198" s="22">
        <f>IF(I198="","",MAX(0,I198-K198))</f>
        <v/>
      </c>
      <c r="M198" s="19" t="n"/>
      <c r="N198" s="18" t="n"/>
      <c r="O198" s="18" t="n"/>
      <c r="P198" s="23" t="n"/>
      <c r="Q198" s="18" t="n"/>
      <c r="R198" s="18" t="n"/>
      <c r="S198" s="18" t="n"/>
      <c r="T198" s="24">
        <f>IF(E198="","",E198-TODAY())</f>
        <v/>
      </c>
      <c r="U198" s="24">
        <f>IF(OR(M198="Paid",M198="Cancelled",E198=""),"",IF(E198&lt;TODAY(),"OVERDUE",IF(E198&lt;=TODAY()+'Setup &amp; Lists'!$M$7,"DUE SOON","")))</f>
        <v/>
      </c>
    </row>
    <row r="199">
      <c r="A199" s="18" t="n"/>
      <c r="B199" s="19" t="n"/>
      <c r="C199" s="19" t="n"/>
      <c r="D199" s="19" t="n"/>
      <c r="E199" s="20" t="n"/>
      <c r="F199" s="19" t="n"/>
      <c r="G199" s="19" t="n"/>
      <c r="H199" s="19" t="n"/>
      <c r="I199" s="21" t="n"/>
      <c r="J199" s="19" t="n"/>
      <c r="K199" s="21" t="n"/>
      <c r="L199" s="22">
        <f>IF(I199="","",MAX(0,I199-K199))</f>
        <v/>
      </c>
      <c r="M199" s="19" t="n"/>
      <c r="N199" s="18" t="n"/>
      <c r="O199" s="18" t="n"/>
      <c r="P199" s="23" t="n"/>
      <c r="Q199" s="18" t="n"/>
      <c r="R199" s="18" t="n"/>
      <c r="S199" s="18" t="n"/>
      <c r="T199" s="24">
        <f>IF(E199="","",E199-TODAY())</f>
        <v/>
      </c>
      <c r="U199" s="24">
        <f>IF(OR(M199="Paid",M199="Cancelled",E199=""),"",IF(E199&lt;TODAY(),"OVERDUE",IF(E199&lt;=TODAY()+'Setup &amp; Lists'!$M$7,"DUE SOON","")))</f>
        <v/>
      </c>
    </row>
    <row r="200">
      <c r="A200" s="18" t="n"/>
      <c r="B200" s="19" t="n"/>
      <c r="C200" s="19" t="n"/>
      <c r="D200" s="19" t="n"/>
      <c r="E200" s="20" t="n"/>
      <c r="F200" s="19" t="n"/>
      <c r="G200" s="19" t="n"/>
      <c r="H200" s="19" t="n"/>
      <c r="I200" s="21" t="n"/>
      <c r="J200" s="19" t="n"/>
      <c r="K200" s="21" t="n"/>
      <c r="L200" s="22">
        <f>IF(I200="","",MAX(0,I200-K200))</f>
        <v/>
      </c>
      <c r="M200" s="19" t="n"/>
      <c r="N200" s="18" t="n"/>
      <c r="O200" s="18" t="n"/>
      <c r="P200" s="23" t="n"/>
      <c r="Q200" s="18" t="n"/>
      <c r="R200" s="18" t="n"/>
      <c r="S200" s="18" t="n"/>
      <c r="T200" s="24">
        <f>IF(E200="","",E200-TODAY())</f>
        <v/>
      </c>
      <c r="U200" s="24">
        <f>IF(OR(M200="Paid",M200="Cancelled",E200=""),"",IF(E200&lt;TODAY(),"OVERDUE",IF(E200&lt;=TODAY()+'Setup &amp; Lists'!$M$7,"DUE SOON","")))</f>
        <v/>
      </c>
    </row>
    <row r="201">
      <c r="A201" s="18" t="n"/>
      <c r="B201" s="19" t="n"/>
      <c r="C201" s="19" t="n"/>
      <c r="D201" s="19" t="n"/>
      <c r="E201" s="20" t="n"/>
      <c r="F201" s="19" t="n"/>
      <c r="G201" s="19" t="n"/>
      <c r="H201" s="19" t="n"/>
      <c r="I201" s="21" t="n"/>
      <c r="J201" s="19" t="n"/>
      <c r="K201" s="21" t="n"/>
      <c r="L201" s="22">
        <f>IF(I201="","",MAX(0,I201-K201))</f>
        <v/>
      </c>
      <c r="M201" s="19" t="n"/>
      <c r="N201" s="18" t="n"/>
      <c r="O201" s="18" t="n"/>
      <c r="P201" s="23" t="n"/>
      <c r="Q201" s="18" t="n"/>
      <c r="R201" s="18" t="n"/>
      <c r="S201" s="18" t="n"/>
      <c r="T201" s="24">
        <f>IF(E201="","",E201-TODAY())</f>
        <v/>
      </c>
      <c r="U201" s="24">
        <f>IF(OR(M201="Paid",M201="Cancelled",E201=""),"",IF(E201&lt;TODAY(),"OVERDUE",IF(E201&lt;=TODAY()+'Setup &amp; Lists'!$M$7,"DUE SOON","")))</f>
        <v/>
      </c>
    </row>
    <row r="202">
      <c r="A202" s="18" t="n"/>
      <c r="B202" s="19" t="n"/>
      <c r="C202" s="19" t="n"/>
      <c r="D202" s="19" t="n"/>
      <c r="E202" s="20" t="n"/>
      <c r="F202" s="19" t="n"/>
      <c r="G202" s="19" t="n"/>
      <c r="H202" s="19" t="n"/>
      <c r="I202" s="21" t="n"/>
      <c r="J202" s="19" t="n"/>
      <c r="K202" s="21" t="n"/>
      <c r="L202" s="22">
        <f>IF(I202="","",MAX(0,I202-K202))</f>
        <v/>
      </c>
      <c r="M202" s="19" t="n"/>
      <c r="N202" s="18" t="n"/>
      <c r="O202" s="18" t="n"/>
      <c r="P202" s="23" t="n"/>
      <c r="Q202" s="18" t="n"/>
      <c r="R202" s="18" t="n"/>
      <c r="S202" s="18" t="n"/>
      <c r="T202" s="24">
        <f>IF(E202="","",E202-TODAY())</f>
        <v/>
      </c>
      <c r="U202" s="24">
        <f>IF(OR(M202="Paid",M202="Cancelled",E202=""),"",IF(E202&lt;TODAY(),"OVERDUE",IF(E202&lt;=TODAY()+'Setup &amp; Lists'!$M$7,"DUE SOON","")))</f>
        <v/>
      </c>
    </row>
    <row r="203">
      <c r="A203" s="18" t="n"/>
      <c r="B203" s="19" t="n"/>
      <c r="C203" s="19" t="n"/>
      <c r="D203" s="19" t="n"/>
      <c r="E203" s="20" t="n"/>
      <c r="F203" s="19" t="n"/>
      <c r="G203" s="19" t="n"/>
      <c r="H203" s="19" t="n"/>
      <c r="I203" s="21" t="n"/>
      <c r="J203" s="19" t="n"/>
      <c r="K203" s="21" t="n"/>
      <c r="L203" s="22">
        <f>IF(I203="","",MAX(0,I203-K203))</f>
        <v/>
      </c>
      <c r="M203" s="19" t="n"/>
      <c r="N203" s="18" t="n"/>
      <c r="O203" s="18" t="n"/>
      <c r="P203" s="23" t="n"/>
      <c r="Q203" s="18" t="n"/>
      <c r="R203" s="18" t="n"/>
      <c r="S203" s="18" t="n"/>
      <c r="T203" s="24">
        <f>IF(E203="","",E203-TODAY())</f>
        <v/>
      </c>
      <c r="U203" s="24">
        <f>IF(OR(M203="Paid",M203="Cancelled",E203=""),"",IF(E203&lt;TODAY(),"OVERDUE",IF(E203&lt;=TODAY()+'Setup &amp; Lists'!$M$7,"DUE SOON","")))</f>
        <v/>
      </c>
    </row>
    <row r="204">
      <c r="A204" s="18" t="n"/>
      <c r="B204" s="19" t="n"/>
      <c r="C204" s="19" t="n"/>
      <c r="D204" s="19" t="n"/>
      <c r="E204" s="20" t="n"/>
      <c r="F204" s="19" t="n"/>
      <c r="G204" s="19" t="n"/>
      <c r="H204" s="19" t="n"/>
      <c r="I204" s="21" t="n"/>
      <c r="J204" s="19" t="n"/>
      <c r="K204" s="21" t="n"/>
      <c r="L204" s="22">
        <f>IF(I204="","",MAX(0,I204-K204))</f>
        <v/>
      </c>
      <c r="M204" s="19" t="n"/>
      <c r="N204" s="18" t="n"/>
      <c r="O204" s="18" t="n"/>
      <c r="P204" s="23" t="n"/>
      <c r="Q204" s="18" t="n"/>
      <c r="R204" s="18" t="n"/>
      <c r="S204" s="18" t="n"/>
      <c r="T204" s="24">
        <f>IF(E204="","",E204-TODAY())</f>
        <v/>
      </c>
      <c r="U204" s="24">
        <f>IF(OR(M204="Paid",M204="Cancelled",E204=""),"",IF(E204&lt;TODAY(),"OVERDUE",IF(E204&lt;=TODAY()+'Setup &amp; Lists'!$M$7,"DUE SOON","")))</f>
        <v/>
      </c>
    </row>
    <row r="205">
      <c r="A205" s="18" t="n"/>
      <c r="B205" s="19" t="n"/>
      <c r="C205" s="19" t="n"/>
      <c r="D205" s="19" t="n"/>
      <c r="E205" s="20" t="n"/>
      <c r="F205" s="19" t="n"/>
      <c r="G205" s="19" t="n"/>
      <c r="H205" s="19" t="n"/>
      <c r="I205" s="21" t="n"/>
      <c r="J205" s="19" t="n"/>
      <c r="K205" s="21" t="n"/>
      <c r="L205" s="22">
        <f>IF(I205="","",MAX(0,I205-K205))</f>
        <v/>
      </c>
      <c r="M205" s="19" t="n"/>
      <c r="N205" s="18" t="n"/>
      <c r="O205" s="18" t="n"/>
      <c r="P205" s="23" t="n"/>
      <c r="Q205" s="18" t="n"/>
      <c r="R205" s="18" t="n"/>
      <c r="S205" s="18" t="n"/>
      <c r="T205" s="24">
        <f>IF(E205="","",E205-TODAY())</f>
        <v/>
      </c>
      <c r="U205" s="24">
        <f>IF(OR(M205="Paid",M205="Cancelled",E205=""),"",IF(E205&lt;TODAY(),"OVERDUE",IF(E205&lt;=TODAY()+'Setup &amp; Lists'!$M$7,"DUE SOON","")))</f>
        <v/>
      </c>
    </row>
    <row r="206">
      <c r="A206" s="18" t="n"/>
      <c r="B206" s="19" t="n"/>
      <c r="C206" s="19" t="n"/>
      <c r="D206" s="19" t="n"/>
      <c r="E206" s="20" t="n"/>
      <c r="F206" s="19" t="n"/>
      <c r="G206" s="19" t="n"/>
      <c r="H206" s="19" t="n"/>
      <c r="I206" s="21" t="n"/>
      <c r="J206" s="19" t="n"/>
      <c r="K206" s="21" t="n"/>
      <c r="L206" s="22">
        <f>IF(I206="","",MAX(0,I206-K206))</f>
        <v/>
      </c>
      <c r="M206" s="19" t="n"/>
      <c r="N206" s="18" t="n"/>
      <c r="O206" s="18" t="n"/>
      <c r="P206" s="23" t="n"/>
      <c r="Q206" s="18" t="n"/>
      <c r="R206" s="18" t="n"/>
      <c r="S206" s="18" t="n"/>
      <c r="T206" s="24">
        <f>IF(E206="","",E206-TODAY())</f>
        <v/>
      </c>
      <c r="U206" s="24">
        <f>IF(OR(M206="Paid",M206="Cancelled",E206=""),"",IF(E206&lt;TODAY(),"OVERDUE",IF(E206&lt;=TODAY()+'Setup &amp; Lists'!$M$7,"DUE SOON","")))</f>
        <v/>
      </c>
    </row>
    <row r="207">
      <c r="A207" s="18" t="n"/>
      <c r="B207" s="19" t="n"/>
      <c r="C207" s="19" t="n"/>
      <c r="D207" s="19" t="n"/>
      <c r="E207" s="20" t="n"/>
      <c r="F207" s="19" t="n"/>
      <c r="G207" s="19" t="n"/>
      <c r="H207" s="19" t="n"/>
      <c r="I207" s="21" t="n"/>
      <c r="J207" s="19" t="n"/>
      <c r="K207" s="21" t="n"/>
      <c r="L207" s="22">
        <f>IF(I207="","",MAX(0,I207-K207))</f>
        <v/>
      </c>
      <c r="M207" s="19" t="n"/>
      <c r="N207" s="18" t="n"/>
      <c r="O207" s="18" t="n"/>
      <c r="P207" s="23" t="n"/>
      <c r="Q207" s="18" t="n"/>
      <c r="R207" s="18" t="n"/>
      <c r="S207" s="18" t="n"/>
      <c r="T207" s="24">
        <f>IF(E207="","",E207-TODAY())</f>
        <v/>
      </c>
      <c r="U207" s="24">
        <f>IF(OR(M207="Paid",M207="Cancelled",E207=""),"",IF(E207&lt;TODAY(),"OVERDUE",IF(E207&lt;=TODAY()+'Setup &amp; Lists'!$M$7,"DUE SOON","")))</f>
        <v/>
      </c>
    </row>
    <row r="208">
      <c r="A208" s="18" t="n"/>
      <c r="B208" s="19" t="n"/>
      <c r="C208" s="19" t="n"/>
      <c r="D208" s="19" t="n"/>
      <c r="E208" s="20" t="n"/>
      <c r="F208" s="19" t="n"/>
      <c r="G208" s="19" t="n"/>
      <c r="H208" s="19" t="n"/>
      <c r="I208" s="21" t="n"/>
      <c r="J208" s="19" t="n"/>
      <c r="K208" s="21" t="n"/>
      <c r="L208" s="22">
        <f>IF(I208="","",MAX(0,I208-K208))</f>
        <v/>
      </c>
      <c r="M208" s="19" t="n"/>
      <c r="N208" s="18" t="n"/>
      <c r="O208" s="18" t="n"/>
      <c r="P208" s="23" t="n"/>
      <c r="Q208" s="18" t="n"/>
      <c r="R208" s="18" t="n"/>
      <c r="S208" s="18" t="n"/>
      <c r="T208" s="24">
        <f>IF(E208="","",E208-TODAY())</f>
        <v/>
      </c>
      <c r="U208" s="24">
        <f>IF(OR(M208="Paid",M208="Cancelled",E208=""),"",IF(E208&lt;TODAY(),"OVERDUE",IF(E208&lt;=TODAY()+'Setup &amp; Lists'!$M$7,"DUE SOON","")))</f>
        <v/>
      </c>
    </row>
    <row r="209">
      <c r="A209" s="18" t="n"/>
      <c r="B209" s="19" t="n"/>
      <c r="C209" s="19" t="n"/>
      <c r="D209" s="19" t="n"/>
      <c r="E209" s="20" t="n"/>
      <c r="F209" s="19" t="n"/>
      <c r="G209" s="19" t="n"/>
      <c r="H209" s="19" t="n"/>
      <c r="I209" s="21" t="n"/>
      <c r="J209" s="19" t="n"/>
      <c r="K209" s="21" t="n"/>
      <c r="L209" s="22">
        <f>IF(I209="","",MAX(0,I209-K209))</f>
        <v/>
      </c>
      <c r="M209" s="19" t="n"/>
      <c r="N209" s="18" t="n"/>
      <c r="O209" s="18" t="n"/>
      <c r="P209" s="23" t="n"/>
      <c r="Q209" s="18" t="n"/>
      <c r="R209" s="18" t="n"/>
      <c r="S209" s="18" t="n"/>
      <c r="T209" s="24">
        <f>IF(E209="","",E209-TODAY())</f>
        <v/>
      </c>
      <c r="U209" s="24">
        <f>IF(OR(M209="Paid",M209="Cancelled",E209=""),"",IF(E209&lt;TODAY(),"OVERDUE",IF(E209&lt;=TODAY()+'Setup &amp; Lists'!$M$7,"DUE SOON","")))</f>
        <v/>
      </c>
    </row>
    <row r="210">
      <c r="A210" s="18" t="n"/>
      <c r="B210" s="19" t="n"/>
      <c r="C210" s="19" t="n"/>
      <c r="D210" s="19" t="n"/>
      <c r="E210" s="20" t="n"/>
      <c r="F210" s="19" t="n"/>
      <c r="G210" s="19" t="n"/>
      <c r="H210" s="19" t="n"/>
      <c r="I210" s="21" t="n"/>
      <c r="J210" s="19" t="n"/>
      <c r="K210" s="21" t="n"/>
      <c r="L210" s="22">
        <f>IF(I210="","",MAX(0,I210-K210))</f>
        <v/>
      </c>
      <c r="M210" s="19" t="n"/>
      <c r="N210" s="18" t="n"/>
      <c r="O210" s="18" t="n"/>
      <c r="P210" s="23" t="n"/>
      <c r="Q210" s="18" t="n"/>
      <c r="R210" s="18" t="n"/>
      <c r="S210" s="18" t="n"/>
      <c r="T210" s="24">
        <f>IF(E210="","",E210-TODAY())</f>
        <v/>
      </c>
      <c r="U210" s="24">
        <f>IF(OR(M210="Paid",M210="Cancelled",E210=""),"",IF(E210&lt;TODAY(),"OVERDUE",IF(E210&lt;=TODAY()+'Setup &amp; Lists'!$M$7,"DUE SOON","")))</f>
        <v/>
      </c>
    </row>
    <row r="211">
      <c r="A211" s="18" t="n"/>
      <c r="B211" s="19" t="n"/>
      <c r="C211" s="19" t="n"/>
      <c r="D211" s="19" t="n"/>
      <c r="E211" s="20" t="n"/>
      <c r="F211" s="19" t="n"/>
      <c r="G211" s="19" t="n"/>
      <c r="H211" s="19" t="n"/>
      <c r="I211" s="21" t="n"/>
      <c r="J211" s="19" t="n"/>
      <c r="K211" s="21" t="n"/>
      <c r="L211" s="22">
        <f>IF(I211="","",MAX(0,I211-K211))</f>
        <v/>
      </c>
      <c r="M211" s="19" t="n"/>
      <c r="N211" s="18" t="n"/>
      <c r="O211" s="18" t="n"/>
      <c r="P211" s="23" t="n"/>
      <c r="Q211" s="18" t="n"/>
      <c r="R211" s="18" t="n"/>
      <c r="S211" s="18" t="n"/>
      <c r="T211" s="24">
        <f>IF(E211="","",E211-TODAY())</f>
        <v/>
      </c>
      <c r="U211" s="24">
        <f>IF(OR(M211="Paid",M211="Cancelled",E211=""),"",IF(E211&lt;TODAY(),"OVERDUE",IF(E211&lt;=TODAY()+'Setup &amp; Lists'!$M$7,"DUE SOON","")))</f>
        <v/>
      </c>
    </row>
    <row r="212">
      <c r="A212" s="18" t="n"/>
      <c r="B212" s="19" t="n"/>
      <c r="C212" s="19" t="n"/>
      <c r="D212" s="19" t="n"/>
      <c r="E212" s="20" t="n"/>
      <c r="F212" s="19" t="n"/>
      <c r="G212" s="19" t="n"/>
      <c r="H212" s="19" t="n"/>
      <c r="I212" s="21" t="n"/>
      <c r="J212" s="19" t="n"/>
      <c r="K212" s="21" t="n"/>
      <c r="L212" s="22">
        <f>IF(I212="","",MAX(0,I212-K212))</f>
        <v/>
      </c>
      <c r="M212" s="19" t="n"/>
      <c r="N212" s="18" t="n"/>
      <c r="O212" s="18" t="n"/>
      <c r="P212" s="23" t="n"/>
      <c r="Q212" s="18" t="n"/>
      <c r="R212" s="18" t="n"/>
      <c r="S212" s="18" t="n"/>
      <c r="T212" s="24">
        <f>IF(E212="","",E212-TODAY())</f>
        <v/>
      </c>
      <c r="U212" s="24">
        <f>IF(OR(M212="Paid",M212="Cancelled",E212=""),"",IF(E212&lt;TODAY(),"OVERDUE",IF(E212&lt;=TODAY()+'Setup &amp; Lists'!$M$7,"DUE SOON","")))</f>
        <v/>
      </c>
    </row>
    <row r="213">
      <c r="A213" s="18" t="n"/>
      <c r="B213" s="19" t="n"/>
      <c r="C213" s="19" t="n"/>
      <c r="D213" s="19" t="n"/>
      <c r="E213" s="20" t="n"/>
      <c r="F213" s="19" t="n"/>
      <c r="G213" s="19" t="n"/>
      <c r="H213" s="19" t="n"/>
      <c r="I213" s="21" t="n"/>
      <c r="J213" s="19" t="n"/>
      <c r="K213" s="21" t="n"/>
      <c r="L213" s="22">
        <f>IF(I213="","",MAX(0,I213-K213))</f>
        <v/>
      </c>
      <c r="M213" s="19" t="n"/>
      <c r="N213" s="18" t="n"/>
      <c r="O213" s="18" t="n"/>
      <c r="P213" s="23" t="n"/>
      <c r="Q213" s="18" t="n"/>
      <c r="R213" s="18" t="n"/>
      <c r="S213" s="18" t="n"/>
      <c r="T213" s="24">
        <f>IF(E213="","",E213-TODAY())</f>
        <v/>
      </c>
      <c r="U213" s="24">
        <f>IF(OR(M213="Paid",M213="Cancelled",E213=""),"",IF(E213&lt;TODAY(),"OVERDUE",IF(E213&lt;=TODAY()+'Setup &amp; Lists'!$M$7,"DUE SOON","")))</f>
        <v/>
      </c>
    </row>
    <row r="214">
      <c r="A214" s="18" t="n"/>
      <c r="B214" s="19" t="n"/>
      <c r="C214" s="19" t="n"/>
      <c r="D214" s="19" t="n"/>
      <c r="E214" s="20" t="n"/>
      <c r="F214" s="19" t="n"/>
      <c r="G214" s="19" t="n"/>
      <c r="H214" s="19" t="n"/>
      <c r="I214" s="21" t="n"/>
      <c r="J214" s="19" t="n"/>
      <c r="K214" s="21" t="n"/>
      <c r="L214" s="22">
        <f>IF(I214="","",MAX(0,I214-K214))</f>
        <v/>
      </c>
      <c r="M214" s="19" t="n"/>
      <c r="N214" s="18" t="n"/>
      <c r="O214" s="18" t="n"/>
      <c r="P214" s="23" t="n"/>
      <c r="Q214" s="18" t="n"/>
      <c r="R214" s="18" t="n"/>
      <c r="S214" s="18" t="n"/>
      <c r="T214" s="24">
        <f>IF(E214="","",E214-TODAY())</f>
        <v/>
      </c>
      <c r="U214" s="24">
        <f>IF(OR(M214="Paid",M214="Cancelled",E214=""),"",IF(E214&lt;TODAY(),"OVERDUE",IF(E214&lt;=TODAY()+'Setup &amp; Lists'!$M$7,"DUE SOON","")))</f>
        <v/>
      </c>
    </row>
    <row r="215">
      <c r="A215" s="18" t="n"/>
      <c r="B215" s="19" t="n"/>
      <c r="C215" s="19" t="n"/>
      <c r="D215" s="19" t="n"/>
      <c r="E215" s="20" t="n"/>
      <c r="F215" s="19" t="n"/>
      <c r="G215" s="19" t="n"/>
      <c r="H215" s="19" t="n"/>
      <c r="I215" s="21" t="n"/>
      <c r="J215" s="19" t="n"/>
      <c r="K215" s="21" t="n"/>
      <c r="L215" s="22">
        <f>IF(I215="","",MAX(0,I215-K215))</f>
        <v/>
      </c>
      <c r="M215" s="19" t="n"/>
      <c r="N215" s="18" t="n"/>
      <c r="O215" s="18" t="n"/>
      <c r="P215" s="23" t="n"/>
      <c r="Q215" s="18" t="n"/>
      <c r="R215" s="18" t="n"/>
      <c r="S215" s="18" t="n"/>
      <c r="T215" s="24">
        <f>IF(E215="","",E215-TODAY())</f>
        <v/>
      </c>
      <c r="U215" s="24">
        <f>IF(OR(M215="Paid",M215="Cancelled",E215=""),"",IF(E215&lt;TODAY(),"OVERDUE",IF(E215&lt;=TODAY()+'Setup &amp; Lists'!$M$7,"DUE SOON","")))</f>
        <v/>
      </c>
    </row>
    <row r="216">
      <c r="A216" s="18" t="n"/>
      <c r="B216" s="19" t="n"/>
      <c r="C216" s="19" t="n"/>
      <c r="D216" s="19" t="n"/>
      <c r="E216" s="20" t="n"/>
      <c r="F216" s="19" t="n"/>
      <c r="G216" s="19" t="n"/>
      <c r="H216" s="19" t="n"/>
      <c r="I216" s="21" t="n"/>
      <c r="J216" s="19" t="n"/>
      <c r="K216" s="21" t="n"/>
      <c r="L216" s="22">
        <f>IF(I216="","",MAX(0,I216-K216))</f>
        <v/>
      </c>
      <c r="M216" s="19" t="n"/>
      <c r="N216" s="18" t="n"/>
      <c r="O216" s="18" t="n"/>
      <c r="P216" s="23" t="n"/>
      <c r="Q216" s="18" t="n"/>
      <c r="R216" s="18" t="n"/>
      <c r="S216" s="18" t="n"/>
      <c r="T216" s="24">
        <f>IF(E216="","",E216-TODAY())</f>
        <v/>
      </c>
      <c r="U216" s="24">
        <f>IF(OR(M216="Paid",M216="Cancelled",E216=""),"",IF(E216&lt;TODAY(),"OVERDUE",IF(E216&lt;=TODAY()+'Setup &amp; Lists'!$M$7,"DUE SOON","")))</f>
        <v/>
      </c>
    </row>
    <row r="217">
      <c r="A217" s="18" t="n"/>
      <c r="B217" s="19" t="n"/>
      <c r="C217" s="19" t="n"/>
      <c r="D217" s="19" t="n"/>
      <c r="E217" s="20" t="n"/>
      <c r="F217" s="19" t="n"/>
      <c r="G217" s="19" t="n"/>
      <c r="H217" s="19" t="n"/>
      <c r="I217" s="21" t="n"/>
      <c r="J217" s="19" t="n"/>
      <c r="K217" s="21" t="n"/>
      <c r="L217" s="22">
        <f>IF(I217="","",MAX(0,I217-K217))</f>
        <v/>
      </c>
      <c r="M217" s="19" t="n"/>
      <c r="N217" s="18" t="n"/>
      <c r="O217" s="18" t="n"/>
      <c r="P217" s="23" t="n"/>
      <c r="Q217" s="18" t="n"/>
      <c r="R217" s="18" t="n"/>
      <c r="S217" s="18" t="n"/>
      <c r="T217" s="24">
        <f>IF(E217="","",E217-TODAY())</f>
        <v/>
      </c>
      <c r="U217" s="24">
        <f>IF(OR(M217="Paid",M217="Cancelled",E217=""),"",IF(E217&lt;TODAY(),"OVERDUE",IF(E217&lt;=TODAY()+'Setup &amp; Lists'!$M$7,"DUE SOON","")))</f>
        <v/>
      </c>
    </row>
    <row r="218">
      <c r="A218" s="18" t="n"/>
      <c r="B218" s="19" t="n"/>
      <c r="C218" s="19" t="n"/>
      <c r="D218" s="19" t="n"/>
      <c r="E218" s="20" t="n"/>
      <c r="F218" s="19" t="n"/>
      <c r="G218" s="19" t="n"/>
      <c r="H218" s="19" t="n"/>
      <c r="I218" s="21" t="n"/>
      <c r="J218" s="19" t="n"/>
      <c r="K218" s="21" t="n"/>
      <c r="L218" s="22">
        <f>IF(I218="","",MAX(0,I218-K218))</f>
        <v/>
      </c>
      <c r="M218" s="19" t="n"/>
      <c r="N218" s="18" t="n"/>
      <c r="O218" s="18" t="n"/>
      <c r="P218" s="23" t="n"/>
      <c r="Q218" s="18" t="n"/>
      <c r="R218" s="18" t="n"/>
      <c r="S218" s="18" t="n"/>
      <c r="T218" s="24">
        <f>IF(E218="","",E218-TODAY())</f>
        <v/>
      </c>
      <c r="U218" s="24">
        <f>IF(OR(M218="Paid",M218="Cancelled",E218=""),"",IF(E218&lt;TODAY(),"OVERDUE",IF(E218&lt;=TODAY()+'Setup &amp; Lists'!$M$7,"DUE SOON","")))</f>
        <v/>
      </c>
    </row>
    <row r="219">
      <c r="A219" s="18" t="n"/>
      <c r="B219" s="19" t="n"/>
      <c r="C219" s="19" t="n"/>
      <c r="D219" s="19" t="n"/>
      <c r="E219" s="20" t="n"/>
      <c r="F219" s="19" t="n"/>
      <c r="G219" s="19" t="n"/>
      <c r="H219" s="19" t="n"/>
      <c r="I219" s="21" t="n"/>
      <c r="J219" s="19" t="n"/>
      <c r="K219" s="21" t="n"/>
      <c r="L219" s="22">
        <f>IF(I219="","",MAX(0,I219-K219))</f>
        <v/>
      </c>
      <c r="M219" s="19" t="n"/>
      <c r="N219" s="18" t="n"/>
      <c r="O219" s="18" t="n"/>
      <c r="P219" s="23" t="n"/>
      <c r="Q219" s="18" t="n"/>
      <c r="R219" s="18" t="n"/>
      <c r="S219" s="18" t="n"/>
      <c r="T219" s="24">
        <f>IF(E219="","",E219-TODAY())</f>
        <v/>
      </c>
      <c r="U219" s="24">
        <f>IF(OR(M219="Paid",M219="Cancelled",E219=""),"",IF(E219&lt;TODAY(),"OVERDUE",IF(E219&lt;=TODAY()+'Setup &amp; Lists'!$M$7,"DUE SOON","")))</f>
        <v/>
      </c>
    </row>
    <row r="220">
      <c r="A220" s="18" t="n"/>
      <c r="B220" s="19" t="n"/>
      <c r="C220" s="19" t="n"/>
      <c r="D220" s="19" t="n"/>
      <c r="E220" s="20" t="n"/>
      <c r="F220" s="19" t="n"/>
      <c r="G220" s="19" t="n"/>
      <c r="H220" s="19" t="n"/>
      <c r="I220" s="21" t="n"/>
      <c r="J220" s="19" t="n"/>
      <c r="K220" s="21" t="n"/>
      <c r="L220" s="22">
        <f>IF(I220="","",MAX(0,I220-K220))</f>
        <v/>
      </c>
      <c r="M220" s="19" t="n"/>
      <c r="N220" s="18" t="n"/>
      <c r="O220" s="18" t="n"/>
      <c r="P220" s="23" t="n"/>
      <c r="Q220" s="18" t="n"/>
      <c r="R220" s="18" t="n"/>
      <c r="S220" s="18" t="n"/>
      <c r="T220" s="24">
        <f>IF(E220="","",E220-TODAY())</f>
        <v/>
      </c>
      <c r="U220" s="24">
        <f>IF(OR(M220="Paid",M220="Cancelled",E220=""),"",IF(E220&lt;TODAY(),"OVERDUE",IF(E220&lt;=TODAY()+'Setup &amp; Lists'!$M$7,"DUE SOON","")))</f>
        <v/>
      </c>
    </row>
    <row r="221">
      <c r="A221" s="18" t="n"/>
      <c r="B221" s="19" t="n"/>
      <c r="C221" s="19" t="n"/>
      <c r="D221" s="19" t="n"/>
      <c r="E221" s="20" t="n"/>
      <c r="F221" s="19" t="n"/>
      <c r="G221" s="19" t="n"/>
      <c r="H221" s="19" t="n"/>
      <c r="I221" s="21" t="n"/>
      <c r="J221" s="19" t="n"/>
      <c r="K221" s="21" t="n"/>
      <c r="L221" s="22">
        <f>IF(I221="","",MAX(0,I221-K221))</f>
        <v/>
      </c>
      <c r="M221" s="19" t="n"/>
      <c r="N221" s="18" t="n"/>
      <c r="O221" s="18" t="n"/>
      <c r="P221" s="23" t="n"/>
      <c r="Q221" s="18" t="n"/>
      <c r="R221" s="18" t="n"/>
      <c r="S221" s="18" t="n"/>
      <c r="T221" s="24">
        <f>IF(E221="","",E221-TODAY())</f>
        <v/>
      </c>
      <c r="U221" s="24">
        <f>IF(OR(M221="Paid",M221="Cancelled",E221=""),"",IF(E221&lt;TODAY(),"OVERDUE",IF(E221&lt;=TODAY()+'Setup &amp; Lists'!$M$7,"DUE SOON","")))</f>
        <v/>
      </c>
    </row>
    <row r="222">
      <c r="A222" s="18" t="n"/>
      <c r="B222" s="19" t="n"/>
      <c r="C222" s="19" t="n"/>
      <c r="D222" s="19" t="n"/>
      <c r="E222" s="20" t="n"/>
      <c r="F222" s="19" t="n"/>
      <c r="G222" s="19" t="n"/>
      <c r="H222" s="19" t="n"/>
      <c r="I222" s="21" t="n"/>
      <c r="J222" s="19" t="n"/>
      <c r="K222" s="21" t="n"/>
      <c r="L222" s="22">
        <f>IF(I222="","",MAX(0,I222-K222))</f>
        <v/>
      </c>
      <c r="M222" s="19" t="n"/>
      <c r="N222" s="18" t="n"/>
      <c r="O222" s="18" t="n"/>
      <c r="P222" s="23" t="n"/>
      <c r="Q222" s="18" t="n"/>
      <c r="R222" s="18" t="n"/>
      <c r="S222" s="18" t="n"/>
      <c r="T222" s="24">
        <f>IF(E222="","",E222-TODAY())</f>
        <v/>
      </c>
      <c r="U222" s="24">
        <f>IF(OR(M222="Paid",M222="Cancelled",E222=""),"",IF(E222&lt;TODAY(),"OVERDUE",IF(E222&lt;=TODAY()+'Setup &amp; Lists'!$M$7,"DUE SOON","")))</f>
        <v/>
      </c>
    </row>
    <row r="223">
      <c r="A223" s="18" t="n"/>
      <c r="B223" s="19" t="n"/>
      <c r="C223" s="19" t="n"/>
      <c r="D223" s="19" t="n"/>
      <c r="E223" s="20" t="n"/>
      <c r="F223" s="19" t="n"/>
      <c r="G223" s="19" t="n"/>
      <c r="H223" s="19" t="n"/>
      <c r="I223" s="21" t="n"/>
      <c r="J223" s="19" t="n"/>
      <c r="K223" s="21" t="n"/>
      <c r="L223" s="22">
        <f>IF(I223="","",MAX(0,I223-K223))</f>
        <v/>
      </c>
      <c r="M223" s="19" t="n"/>
      <c r="N223" s="18" t="n"/>
      <c r="O223" s="18" t="n"/>
      <c r="P223" s="23" t="n"/>
      <c r="Q223" s="18" t="n"/>
      <c r="R223" s="18" t="n"/>
      <c r="S223" s="18" t="n"/>
      <c r="T223" s="24">
        <f>IF(E223="","",E223-TODAY())</f>
        <v/>
      </c>
      <c r="U223" s="24">
        <f>IF(OR(M223="Paid",M223="Cancelled",E223=""),"",IF(E223&lt;TODAY(),"OVERDUE",IF(E223&lt;=TODAY()+'Setup &amp; Lists'!$M$7,"DUE SOON","")))</f>
        <v/>
      </c>
    </row>
    <row r="224">
      <c r="A224" s="18" t="n"/>
      <c r="B224" s="19" t="n"/>
      <c r="C224" s="19" t="n"/>
      <c r="D224" s="19" t="n"/>
      <c r="E224" s="20" t="n"/>
      <c r="F224" s="19" t="n"/>
      <c r="G224" s="19" t="n"/>
      <c r="H224" s="19" t="n"/>
      <c r="I224" s="21" t="n"/>
      <c r="J224" s="19" t="n"/>
      <c r="K224" s="21" t="n"/>
      <c r="L224" s="22">
        <f>IF(I224="","",MAX(0,I224-K224))</f>
        <v/>
      </c>
      <c r="M224" s="19" t="n"/>
      <c r="N224" s="18" t="n"/>
      <c r="O224" s="18" t="n"/>
      <c r="P224" s="23" t="n"/>
      <c r="Q224" s="18" t="n"/>
      <c r="R224" s="18" t="n"/>
      <c r="S224" s="18" t="n"/>
      <c r="T224" s="24">
        <f>IF(E224="","",E224-TODAY())</f>
        <v/>
      </c>
      <c r="U224" s="24">
        <f>IF(OR(M224="Paid",M224="Cancelled",E224=""),"",IF(E224&lt;TODAY(),"OVERDUE",IF(E224&lt;=TODAY()+'Setup &amp; Lists'!$M$7,"DUE SOON","")))</f>
        <v/>
      </c>
    </row>
    <row r="225">
      <c r="A225" s="18" t="n"/>
      <c r="B225" s="19" t="n"/>
      <c r="C225" s="19" t="n"/>
      <c r="D225" s="19" t="n"/>
      <c r="E225" s="20" t="n"/>
      <c r="F225" s="19" t="n"/>
      <c r="G225" s="19" t="n"/>
      <c r="H225" s="19" t="n"/>
      <c r="I225" s="21" t="n"/>
      <c r="J225" s="19" t="n"/>
      <c r="K225" s="21" t="n"/>
      <c r="L225" s="22">
        <f>IF(I225="","",MAX(0,I225-K225))</f>
        <v/>
      </c>
      <c r="M225" s="19" t="n"/>
      <c r="N225" s="18" t="n"/>
      <c r="O225" s="18" t="n"/>
      <c r="P225" s="23" t="n"/>
      <c r="Q225" s="18" t="n"/>
      <c r="R225" s="18" t="n"/>
      <c r="S225" s="18" t="n"/>
      <c r="T225" s="24">
        <f>IF(E225="","",E225-TODAY())</f>
        <v/>
      </c>
      <c r="U225" s="24">
        <f>IF(OR(M225="Paid",M225="Cancelled",E225=""),"",IF(E225&lt;TODAY(),"OVERDUE",IF(E225&lt;=TODAY()+'Setup &amp; Lists'!$M$7,"DUE SOON","")))</f>
        <v/>
      </c>
    </row>
    <row r="226">
      <c r="A226" s="18" t="n"/>
      <c r="B226" s="19" t="n"/>
      <c r="C226" s="19" t="n"/>
      <c r="D226" s="19" t="n"/>
      <c r="E226" s="20" t="n"/>
      <c r="F226" s="19" t="n"/>
      <c r="G226" s="19" t="n"/>
      <c r="H226" s="19" t="n"/>
      <c r="I226" s="21" t="n"/>
      <c r="J226" s="19" t="n"/>
      <c r="K226" s="21" t="n"/>
      <c r="L226" s="22">
        <f>IF(I226="","",MAX(0,I226-K226))</f>
        <v/>
      </c>
      <c r="M226" s="19" t="n"/>
      <c r="N226" s="18" t="n"/>
      <c r="O226" s="18" t="n"/>
      <c r="P226" s="23" t="n"/>
      <c r="Q226" s="18" t="n"/>
      <c r="R226" s="18" t="n"/>
      <c r="S226" s="18" t="n"/>
      <c r="T226" s="24">
        <f>IF(E226="","",E226-TODAY())</f>
        <v/>
      </c>
      <c r="U226" s="24">
        <f>IF(OR(M226="Paid",M226="Cancelled",E226=""),"",IF(E226&lt;TODAY(),"OVERDUE",IF(E226&lt;=TODAY()+'Setup &amp; Lists'!$M$7,"DUE SOON","")))</f>
        <v/>
      </c>
    </row>
    <row r="227">
      <c r="A227" s="18" t="n"/>
      <c r="B227" s="19" t="n"/>
      <c r="C227" s="19" t="n"/>
      <c r="D227" s="19" t="n"/>
      <c r="E227" s="20" t="n"/>
      <c r="F227" s="19" t="n"/>
      <c r="G227" s="19" t="n"/>
      <c r="H227" s="19" t="n"/>
      <c r="I227" s="21" t="n"/>
      <c r="J227" s="19" t="n"/>
      <c r="K227" s="21" t="n"/>
      <c r="L227" s="22">
        <f>IF(I227="","",MAX(0,I227-K227))</f>
        <v/>
      </c>
      <c r="M227" s="19" t="n"/>
      <c r="N227" s="18" t="n"/>
      <c r="O227" s="18" t="n"/>
      <c r="P227" s="23" t="n"/>
      <c r="Q227" s="18" t="n"/>
      <c r="R227" s="18" t="n"/>
      <c r="S227" s="18" t="n"/>
      <c r="T227" s="24">
        <f>IF(E227="","",E227-TODAY())</f>
        <v/>
      </c>
      <c r="U227" s="24">
        <f>IF(OR(M227="Paid",M227="Cancelled",E227=""),"",IF(E227&lt;TODAY(),"OVERDUE",IF(E227&lt;=TODAY()+'Setup &amp; Lists'!$M$7,"DUE SOON","")))</f>
        <v/>
      </c>
    </row>
    <row r="228">
      <c r="A228" s="18" t="n"/>
      <c r="B228" s="19" t="n"/>
      <c r="C228" s="19" t="n"/>
      <c r="D228" s="19" t="n"/>
      <c r="E228" s="20" t="n"/>
      <c r="F228" s="19" t="n"/>
      <c r="G228" s="19" t="n"/>
      <c r="H228" s="19" t="n"/>
      <c r="I228" s="21" t="n"/>
      <c r="J228" s="19" t="n"/>
      <c r="K228" s="21" t="n"/>
      <c r="L228" s="22">
        <f>IF(I228="","",MAX(0,I228-K228))</f>
        <v/>
      </c>
      <c r="M228" s="19" t="n"/>
      <c r="N228" s="18" t="n"/>
      <c r="O228" s="18" t="n"/>
      <c r="P228" s="23" t="n"/>
      <c r="Q228" s="18" t="n"/>
      <c r="R228" s="18" t="n"/>
      <c r="S228" s="18" t="n"/>
      <c r="T228" s="24">
        <f>IF(E228="","",E228-TODAY())</f>
        <v/>
      </c>
      <c r="U228" s="24">
        <f>IF(OR(M228="Paid",M228="Cancelled",E228=""),"",IF(E228&lt;TODAY(),"OVERDUE",IF(E228&lt;=TODAY()+'Setup &amp; Lists'!$M$7,"DUE SOON","")))</f>
        <v/>
      </c>
    </row>
    <row r="229">
      <c r="A229" s="18" t="n"/>
      <c r="B229" s="19" t="n"/>
      <c r="C229" s="19" t="n"/>
      <c r="D229" s="19" t="n"/>
      <c r="E229" s="20" t="n"/>
      <c r="F229" s="19" t="n"/>
      <c r="G229" s="19" t="n"/>
      <c r="H229" s="19" t="n"/>
      <c r="I229" s="21" t="n"/>
      <c r="J229" s="19" t="n"/>
      <c r="K229" s="21" t="n"/>
      <c r="L229" s="22">
        <f>IF(I229="","",MAX(0,I229-K229))</f>
        <v/>
      </c>
      <c r="M229" s="19" t="n"/>
      <c r="N229" s="18" t="n"/>
      <c r="O229" s="18" t="n"/>
      <c r="P229" s="23" t="n"/>
      <c r="Q229" s="18" t="n"/>
      <c r="R229" s="18" t="n"/>
      <c r="S229" s="18" t="n"/>
      <c r="T229" s="24">
        <f>IF(E229="","",E229-TODAY())</f>
        <v/>
      </c>
      <c r="U229" s="24">
        <f>IF(OR(M229="Paid",M229="Cancelled",E229=""),"",IF(E229&lt;TODAY(),"OVERDUE",IF(E229&lt;=TODAY()+'Setup &amp; Lists'!$M$7,"DUE SOON","")))</f>
        <v/>
      </c>
    </row>
    <row r="230">
      <c r="A230" s="18" t="n"/>
      <c r="B230" s="19" t="n"/>
      <c r="C230" s="19" t="n"/>
      <c r="D230" s="19" t="n"/>
      <c r="E230" s="20" t="n"/>
      <c r="F230" s="19" t="n"/>
      <c r="G230" s="19" t="n"/>
      <c r="H230" s="19" t="n"/>
      <c r="I230" s="21" t="n"/>
      <c r="J230" s="19" t="n"/>
      <c r="K230" s="21" t="n"/>
      <c r="L230" s="22">
        <f>IF(I230="","",MAX(0,I230-K230))</f>
        <v/>
      </c>
      <c r="M230" s="19" t="n"/>
      <c r="N230" s="18" t="n"/>
      <c r="O230" s="18" t="n"/>
      <c r="P230" s="23" t="n"/>
      <c r="Q230" s="18" t="n"/>
      <c r="R230" s="18" t="n"/>
      <c r="S230" s="18" t="n"/>
      <c r="T230" s="24">
        <f>IF(E230="","",E230-TODAY())</f>
        <v/>
      </c>
      <c r="U230" s="24">
        <f>IF(OR(M230="Paid",M230="Cancelled",E230=""),"",IF(E230&lt;TODAY(),"OVERDUE",IF(E230&lt;=TODAY()+'Setup &amp; Lists'!$M$7,"DUE SOON","")))</f>
        <v/>
      </c>
    </row>
    <row r="231">
      <c r="A231" s="18" t="n"/>
      <c r="B231" s="19" t="n"/>
      <c r="C231" s="19" t="n"/>
      <c r="D231" s="19" t="n"/>
      <c r="E231" s="20" t="n"/>
      <c r="F231" s="19" t="n"/>
      <c r="G231" s="19" t="n"/>
      <c r="H231" s="19" t="n"/>
      <c r="I231" s="21" t="n"/>
      <c r="J231" s="19" t="n"/>
      <c r="K231" s="21" t="n"/>
      <c r="L231" s="22">
        <f>IF(I231="","",MAX(0,I231-K231))</f>
        <v/>
      </c>
      <c r="M231" s="19" t="n"/>
      <c r="N231" s="18" t="n"/>
      <c r="O231" s="18" t="n"/>
      <c r="P231" s="23" t="n"/>
      <c r="Q231" s="18" t="n"/>
      <c r="R231" s="18" t="n"/>
      <c r="S231" s="18" t="n"/>
      <c r="T231" s="24">
        <f>IF(E231="","",E231-TODAY())</f>
        <v/>
      </c>
      <c r="U231" s="24">
        <f>IF(OR(M231="Paid",M231="Cancelled",E231=""),"",IF(E231&lt;TODAY(),"OVERDUE",IF(E231&lt;=TODAY()+'Setup &amp; Lists'!$M$7,"DUE SOON","")))</f>
        <v/>
      </c>
    </row>
    <row r="232">
      <c r="A232" s="18" t="n"/>
      <c r="B232" s="19" t="n"/>
      <c r="C232" s="19" t="n"/>
      <c r="D232" s="19" t="n"/>
      <c r="E232" s="20" t="n"/>
      <c r="F232" s="19" t="n"/>
      <c r="G232" s="19" t="n"/>
      <c r="H232" s="19" t="n"/>
      <c r="I232" s="21" t="n"/>
      <c r="J232" s="19" t="n"/>
      <c r="K232" s="21" t="n"/>
      <c r="L232" s="22">
        <f>IF(I232="","",MAX(0,I232-K232))</f>
        <v/>
      </c>
      <c r="M232" s="19" t="n"/>
      <c r="N232" s="18" t="n"/>
      <c r="O232" s="18" t="n"/>
      <c r="P232" s="23" t="n"/>
      <c r="Q232" s="18" t="n"/>
      <c r="R232" s="18" t="n"/>
      <c r="S232" s="18" t="n"/>
      <c r="T232" s="24">
        <f>IF(E232="","",E232-TODAY())</f>
        <v/>
      </c>
      <c r="U232" s="24">
        <f>IF(OR(M232="Paid",M232="Cancelled",E232=""),"",IF(E232&lt;TODAY(),"OVERDUE",IF(E232&lt;=TODAY()+'Setup &amp; Lists'!$M$7,"DUE SOON","")))</f>
        <v/>
      </c>
    </row>
    <row r="233">
      <c r="A233" s="18" t="n"/>
      <c r="B233" s="19" t="n"/>
      <c r="C233" s="19" t="n"/>
      <c r="D233" s="19" t="n"/>
      <c r="E233" s="20" t="n"/>
      <c r="F233" s="19" t="n"/>
      <c r="G233" s="19" t="n"/>
      <c r="H233" s="19" t="n"/>
      <c r="I233" s="21" t="n"/>
      <c r="J233" s="19" t="n"/>
      <c r="K233" s="21" t="n"/>
      <c r="L233" s="22">
        <f>IF(I233="","",MAX(0,I233-K233))</f>
        <v/>
      </c>
      <c r="M233" s="19" t="n"/>
      <c r="N233" s="18" t="n"/>
      <c r="O233" s="18" t="n"/>
      <c r="P233" s="23" t="n"/>
      <c r="Q233" s="18" t="n"/>
      <c r="R233" s="18" t="n"/>
      <c r="S233" s="18" t="n"/>
      <c r="T233" s="24">
        <f>IF(E233="","",E233-TODAY())</f>
        <v/>
      </c>
      <c r="U233" s="24">
        <f>IF(OR(M233="Paid",M233="Cancelled",E233=""),"",IF(E233&lt;TODAY(),"OVERDUE",IF(E233&lt;=TODAY()+'Setup &amp; Lists'!$M$7,"DUE SOON","")))</f>
        <v/>
      </c>
    </row>
    <row r="234">
      <c r="A234" s="18" t="n"/>
      <c r="B234" s="19" t="n"/>
      <c r="C234" s="19" t="n"/>
      <c r="D234" s="19" t="n"/>
      <c r="E234" s="20" t="n"/>
      <c r="F234" s="19" t="n"/>
      <c r="G234" s="19" t="n"/>
      <c r="H234" s="19" t="n"/>
      <c r="I234" s="21" t="n"/>
      <c r="J234" s="19" t="n"/>
      <c r="K234" s="21" t="n"/>
      <c r="L234" s="22">
        <f>IF(I234="","",MAX(0,I234-K234))</f>
        <v/>
      </c>
      <c r="M234" s="19" t="n"/>
      <c r="N234" s="18" t="n"/>
      <c r="O234" s="18" t="n"/>
      <c r="P234" s="23" t="n"/>
      <c r="Q234" s="18" t="n"/>
      <c r="R234" s="18" t="n"/>
      <c r="S234" s="18" t="n"/>
      <c r="T234" s="24">
        <f>IF(E234="","",E234-TODAY())</f>
        <v/>
      </c>
      <c r="U234" s="24">
        <f>IF(OR(M234="Paid",M234="Cancelled",E234=""),"",IF(E234&lt;TODAY(),"OVERDUE",IF(E234&lt;=TODAY()+'Setup &amp; Lists'!$M$7,"DUE SOON","")))</f>
        <v/>
      </c>
    </row>
    <row r="235">
      <c r="A235" s="18" t="n"/>
      <c r="B235" s="19" t="n"/>
      <c r="C235" s="19" t="n"/>
      <c r="D235" s="19" t="n"/>
      <c r="E235" s="20" t="n"/>
      <c r="F235" s="19" t="n"/>
      <c r="G235" s="19" t="n"/>
      <c r="H235" s="19" t="n"/>
      <c r="I235" s="21" t="n"/>
      <c r="J235" s="19" t="n"/>
      <c r="K235" s="21" t="n"/>
      <c r="L235" s="22">
        <f>IF(I235="","",MAX(0,I235-K235))</f>
        <v/>
      </c>
      <c r="M235" s="19" t="n"/>
      <c r="N235" s="18" t="n"/>
      <c r="O235" s="18" t="n"/>
      <c r="P235" s="23" t="n"/>
      <c r="Q235" s="18" t="n"/>
      <c r="R235" s="18" t="n"/>
      <c r="S235" s="18" t="n"/>
      <c r="T235" s="24">
        <f>IF(E235="","",E235-TODAY())</f>
        <v/>
      </c>
      <c r="U235" s="24">
        <f>IF(OR(M235="Paid",M235="Cancelled",E235=""),"",IF(E235&lt;TODAY(),"OVERDUE",IF(E235&lt;=TODAY()+'Setup &amp; Lists'!$M$7,"DUE SOON","")))</f>
        <v/>
      </c>
    </row>
    <row r="236">
      <c r="A236" s="18" t="n"/>
      <c r="B236" s="19" t="n"/>
      <c r="C236" s="19" t="n"/>
      <c r="D236" s="19" t="n"/>
      <c r="E236" s="20" t="n"/>
      <c r="F236" s="19" t="n"/>
      <c r="G236" s="19" t="n"/>
      <c r="H236" s="19" t="n"/>
      <c r="I236" s="21" t="n"/>
      <c r="J236" s="19" t="n"/>
      <c r="K236" s="21" t="n"/>
      <c r="L236" s="22">
        <f>IF(I236="","",MAX(0,I236-K236))</f>
        <v/>
      </c>
      <c r="M236" s="19" t="n"/>
      <c r="N236" s="18" t="n"/>
      <c r="O236" s="18" t="n"/>
      <c r="P236" s="23" t="n"/>
      <c r="Q236" s="18" t="n"/>
      <c r="R236" s="18" t="n"/>
      <c r="S236" s="18" t="n"/>
      <c r="T236" s="24">
        <f>IF(E236="","",E236-TODAY())</f>
        <v/>
      </c>
      <c r="U236" s="24">
        <f>IF(OR(M236="Paid",M236="Cancelled",E236=""),"",IF(E236&lt;TODAY(),"OVERDUE",IF(E236&lt;=TODAY()+'Setup &amp; Lists'!$M$7,"DUE SOON","")))</f>
        <v/>
      </c>
    </row>
    <row r="237">
      <c r="A237" s="18" t="n"/>
      <c r="B237" s="19" t="n"/>
      <c r="C237" s="19" t="n"/>
      <c r="D237" s="19" t="n"/>
      <c r="E237" s="20" t="n"/>
      <c r="F237" s="19" t="n"/>
      <c r="G237" s="19" t="n"/>
      <c r="H237" s="19" t="n"/>
      <c r="I237" s="21" t="n"/>
      <c r="J237" s="19" t="n"/>
      <c r="K237" s="21" t="n"/>
      <c r="L237" s="22">
        <f>IF(I237="","",MAX(0,I237-K237))</f>
        <v/>
      </c>
      <c r="M237" s="19" t="n"/>
      <c r="N237" s="18" t="n"/>
      <c r="O237" s="18" t="n"/>
      <c r="P237" s="23" t="n"/>
      <c r="Q237" s="18" t="n"/>
      <c r="R237" s="18" t="n"/>
      <c r="S237" s="18" t="n"/>
      <c r="T237" s="24">
        <f>IF(E237="","",E237-TODAY())</f>
        <v/>
      </c>
      <c r="U237" s="24">
        <f>IF(OR(M237="Paid",M237="Cancelled",E237=""),"",IF(E237&lt;TODAY(),"OVERDUE",IF(E237&lt;=TODAY()+'Setup &amp; Lists'!$M$7,"DUE SOON","")))</f>
        <v/>
      </c>
    </row>
    <row r="238">
      <c r="A238" s="18" t="n"/>
      <c r="B238" s="19" t="n"/>
      <c r="C238" s="19" t="n"/>
      <c r="D238" s="19" t="n"/>
      <c r="E238" s="20" t="n"/>
      <c r="F238" s="19" t="n"/>
      <c r="G238" s="19" t="n"/>
      <c r="H238" s="19" t="n"/>
      <c r="I238" s="21" t="n"/>
      <c r="J238" s="19" t="n"/>
      <c r="K238" s="21" t="n"/>
      <c r="L238" s="22">
        <f>IF(I238="","",MAX(0,I238-K238))</f>
        <v/>
      </c>
      <c r="M238" s="19" t="n"/>
      <c r="N238" s="18" t="n"/>
      <c r="O238" s="18" t="n"/>
      <c r="P238" s="23" t="n"/>
      <c r="Q238" s="18" t="n"/>
      <c r="R238" s="18" t="n"/>
      <c r="S238" s="18" t="n"/>
      <c r="T238" s="24">
        <f>IF(E238="","",E238-TODAY())</f>
        <v/>
      </c>
      <c r="U238" s="24">
        <f>IF(OR(M238="Paid",M238="Cancelled",E238=""),"",IF(E238&lt;TODAY(),"OVERDUE",IF(E238&lt;=TODAY()+'Setup &amp; Lists'!$M$7,"DUE SOON","")))</f>
        <v/>
      </c>
    </row>
    <row r="239">
      <c r="A239" s="18" t="n"/>
      <c r="B239" s="19" t="n"/>
      <c r="C239" s="19" t="n"/>
      <c r="D239" s="19" t="n"/>
      <c r="E239" s="20" t="n"/>
      <c r="F239" s="19" t="n"/>
      <c r="G239" s="19" t="n"/>
      <c r="H239" s="19" t="n"/>
      <c r="I239" s="21" t="n"/>
      <c r="J239" s="19" t="n"/>
      <c r="K239" s="21" t="n"/>
      <c r="L239" s="22">
        <f>IF(I239="","",MAX(0,I239-K239))</f>
        <v/>
      </c>
      <c r="M239" s="19" t="n"/>
      <c r="N239" s="18" t="n"/>
      <c r="O239" s="18" t="n"/>
      <c r="P239" s="23" t="n"/>
      <c r="Q239" s="18" t="n"/>
      <c r="R239" s="18" t="n"/>
      <c r="S239" s="18" t="n"/>
      <c r="T239" s="24">
        <f>IF(E239="","",E239-TODAY())</f>
        <v/>
      </c>
      <c r="U239" s="24">
        <f>IF(OR(M239="Paid",M239="Cancelled",E239=""),"",IF(E239&lt;TODAY(),"OVERDUE",IF(E239&lt;=TODAY()+'Setup &amp; Lists'!$M$7,"DUE SOON","")))</f>
        <v/>
      </c>
    </row>
    <row r="240">
      <c r="A240" s="18" t="n"/>
      <c r="B240" s="19" t="n"/>
      <c r="C240" s="19" t="n"/>
      <c r="D240" s="19" t="n"/>
      <c r="E240" s="20" t="n"/>
      <c r="F240" s="19" t="n"/>
      <c r="G240" s="19" t="n"/>
      <c r="H240" s="19" t="n"/>
      <c r="I240" s="21" t="n"/>
      <c r="J240" s="19" t="n"/>
      <c r="K240" s="21" t="n"/>
      <c r="L240" s="22">
        <f>IF(I240="","",MAX(0,I240-K240))</f>
        <v/>
      </c>
      <c r="M240" s="19" t="n"/>
      <c r="N240" s="18" t="n"/>
      <c r="O240" s="18" t="n"/>
      <c r="P240" s="23" t="n"/>
      <c r="Q240" s="18" t="n"/>
      <c r="R240" s="18" t="n"/>
      <c r="S240" s="18" t="n"/>
      <c r="T240" s="24">
        <f>IF(E240="","",E240-TODAY())</f>
        <v/>
      </c>
      <c r="U240" s="24">
        <f>IF(OR(M240="Paid",M240="Cancelled",E240=""),"",IF(E240&lt;TODAY(),"OVERDUE",IF(E240&lt;=TODAY()+'Setup &amp; Lists'!$M$7,"DUE SOON","")))</f>
        <v/>
      </c>
    </row>
    <row r="241">
      <c r="A241" s="18" t="n"/>
      <c r="B241" s="19" t="n"/>
      <c r="C241" s="19" t="n"/>
      <c r="D241" s="19" t="n"/>
      <c r="E241" s="20" t="n"/>
      <c r="F241" s="19" t="n"/>
      <c r="G241" s="19" t="n"/>
      <c r="H241" s="19" t="n"/>
      <c r="I241" s="21" t="n"/>
      <c r="J241" s="19" t="n"/>
      <c r="K241" s="21" t="n"/>
      <c r="L241" s="22">
        <f>IF(I241="","",MAX(0,I241-K241))</f>
        <v/>
      </c>
      <c r="M241" s="19" t="n"/>
      <c r="N241" s="18" t="n"/>
      <c r="O241" s="18" t="n"/>
      <c r="P241" s="23" t="n"/>
      <c r="Q241" s="18" t="n"/>
      <c r="R241" s="18" t="n"/>
      <c r="S241" s="18" t="n"/>
      <c r="T241" s="24">
        <f>IF(E241="","",E241-TODAY())</f>
        <v/>
      </c>
      <c r="U241" s="24">
        <f>IF(OR(M241="Paid",M241="Cancelled",E241=""),"",IF(E241&lt;TODAY(),"OVERDUE",IF(E241&lt;=TODAY()+'Setup &amp; Lists'!$M$7,"DUE SOON","")))</f>
        <v/>
      </c>
    </row>
    <row r="242">
      <c r="A242" s="18" t="n"/>
      <c r="B242" s="19" t="n"/>
      <c r="C242" s="19" t="n"/>
      <c r="D242" s="19" t="n"/>
      <c r="E242" s="20" t="n"/>
      <c r="F242" s="19" t="n"/>
      <c r="G242" s="19" t="n"/>
      <c r="H242" s="19" t="n"/>
      <c r="I242" s="21" t="n"/>
      <c r="J242" s="19" t="n"/>
      <c r="K242" s="21" t="n"/>
      <c r="L242" s="22">
        <f>IF(I242="","",MAX(0,I242-K242))</f>
        <v/>
      </c>
      <c r="M242" s="19" t="n"/>
      <c r="N242" s="18" t="n"/>
      <c r="O242" s="18" t="n"/>
      <c r="P242" s="23" t="n"/>
      <c r="Q242" s="18" t="n"/>
      <c r="R242" s="18" t="n"/>
      <c r="S242" s="18" t="n"/>
      <c r="T242" s="24">
        <f>IF(E242="","",E242-TODAY())</f>
        <v/>
      </c>
      <c r="U242" s="24">
        <f>IF(OR(M242="Paid",M242="Cancelled",E242=""),"",IF(E242&lt;TODAY(),"OVERDUE",IF(E242&lt;=TODAY()+'Setup &amp; Lists'!$M$7,"DUE SOON","")))</f>
        <v/>
      </c>
    </row>
    <row r="243">
      <c r="A243" s="18" t="n"/>
      <c r="B243" s="19" t="n"/>
      <c r="C243" s="19" t="n"/>
      <c r="D243" s="19" t="n"/>
      <c r="E243" s="20" t="n"/>
      <c r="F243" s="19" t="n"/>
      <c r="G243" s="19" t="n"/>
      <c r="H243" s="19" t="n"/>
      <c r="I243" s="21" t="n"/>
      <c r="J243" s="19" t="n"/>
      <c r="K243" s="21" t="n"/>
      <c r="L243" s="22">
        <f>IF(I243="","",MAX(0,I243-K243))</f>
        <v/>
      </c>
      <c r="M243" s="19" t="n"/>
      <c r="N243" s="18" t="n"/>
      <c r="O243" s="18" t="n"/>
      <c r="P243" s="23" t="n"/>
      <c r="Q243" s="18" t="n"/>
      <c r="R243" s="18" t="n"/>
      <c r="S243" s="18" t="n"/>
      <c r="T243" s="24">
        <f>IF(E243="","",E243-TODAY())</f>
        <v/>
      </c>
      <c r="U243" s="24">
        <f>IF(OR(M243="Paid",M243="Cancelled",E243=""),"",IF(E243&lt;TODAY(),"OVERDUE",IF(E243&lt;=TODAY()+'Setup &amp; Lists'!$M$7,"DUE SOON","")))</f>
        <v/>
      </c>
    </row>
    <row r="244">
      <c r="A244" s="18" t="n"/>
      <c r="B244" s="19" t="n"/>
      <c r="C244" s="19" t="n"/>
      <c r="D244" s="19" t="n"/>
      <c r="E244" s="20" t="n"/>
      <c r="F244" s="19" t="n"/>
      <c r="G244" s="19" t="n"/>
      <c r="H244" s="19" t="n"/>
      <c r="I244" s="21" t="n"/>
      <c r="J244" s="19" t="n"/>
      <c r="K244" s="21" t="n"/>
      <c r="L244" s="22">
        <f>IF(I244="","",MAX(0,I244-K244))</f>
        <v/>
      </c>
      <c r="M244" s="19" t="n"/>
      <c r="N244" s="18" t="n"/>
      <c r="O244" s="18" t="n"/>
      <c r="P244" s="23" t="n"/>
      <c r="Q244" s="18" t="n"/>
      <c r="R244" s="18" t="n"/>
      <c r="S244" s="18" t="n"/>
      <c r="T244" s="24">
        <f>IF(E244="","",E244-TODAY())</f>
        <v/>
      </c>
      <c r="U244" s="24">
        <f>IF(OR(M244="Paid",M244="Cancelled",E244=""),"",IF(E244&lt;TODAY(),"OVERDUE",IF(E244&lt;=TODAY()+'Setup &amp; Lists'!$M$7,"DUE SOON","")))</f>
        <v/>
      </c>
    </row>
    <row r="245">
      <c r="A245" s="18" t="n"/>
      <c r="B245" s="19" t="n"/>
      <c r="C245" s="19" t="n"/>
      <c r="D245" s="19" t="n"/>
      <c r="E245" s="20" t="n"/>
      <c r="F245" s="19" t="n"/>
      <c r="G245" s="19" t="n"/>
      <c r="H245" s="19" t="n"/>
      <c r="I245" s="21" t="n"/>
      <c r="J245" s="19" t="n"/>
      <c r="K245" s="21" t="n"/>
      <c r="L245" s="22">
        <f>IF(I245="","",MAX(0,I245-K245))</f>
        <v/>
      </c>
      <c r="M245" s="19" t="n"/>
      <c r="N245" s="18" t="n"/>
      <c r="O245" s="18" t="n"/>
      <c r="P245" s="23" t="n"/>
      <c r="Q245" s="18" t="n"/>
      <c r="R245" s="18" t="n"/>
      <c r="S245" s="18" t="n"/>
      <c r="T245" s="24">
        <f>IF(E245="","",E245-TODAY())</f>
        <v/>
      </c>
      <c r="U245" s="24">
        <f>IF(OR(M245="Paid",M245="Cancelled",E245=""),"",IF(E245&lt;TODAY(),"OVERDUE",IF(E245&lt;=TODAY()+'Setup &amp; Lists'!$M$7,"DUE SOON","")))</f>
        <v/>
      </c>
    </row>
    <row r="246">
      <c r="A246" s="18" t="n"/>
      <c r="B246" s="19" t="n"/>
      <c r="C246" s="19" t="n"/>
      <c r="D246" s="19" t="n"/>
      <c r="E246" s="20" t="n"/>
      <c r="F246" s="19" t="n"/>
      <c r="G246" s="19" t="n"/>
      <c r="H246" s="19" t="n"/>
      <c r="I246" s="21" t="n"/>
      <c r="J246" s="19" t="n"/>
      <c r="K246" s="21" t="n"/>
      <c r="L246" s="22">
        <f>IF(I246="","",MAX(0,I246-K246))</f>
        <v/>
      </c>
      <c r="M246" s="19" t="n"/>
      <c r="N246" s="18" t="n"/>
      <c r="O246" s="18" t="n"/>
      <c r="P246" s="23" t="n"/>
      <c r="Q246" s="18" t="n"/>
      <c r="R246" s="18" t="n"/>
      <c r="S246" s="18" t="n"/>
      <c r="T246" s="24">
        <f>IF(E246="","",E246-TODAY())</f>
        <v/>
      </c>
      <c r="U246" s="24">
        <f>IF(OR(M246="Paid",M246="Cancelled",E246=""),"",IF(E246&lt;TODAY(),"OVERDUE",IF(E246&lt;=TODAY()+'Setup &amp; Lists'!$M$7,"DUE SOON","")))</f>
        <v/>
      </c>
    </row>
    <row r="247">
      <c r="A247" s="18" t="n"/>
      <c r="B247" s="19" t="n"/>
      <c r="C247" s="19" t="n"/>
      <c r="D247" s="19" t="n"/>
      <c r="E247" s="20" t="n"/>
      <c r="F247" s="19" t="n"/>
      <c r="G247" s="19" t="n"/>
      <c r="H247" s="19" t="n"/>
      <c r="I247" s="21" t="n"/>
      <c r="J247" s="19" t="n"/>
      <c r="K247" s="21" t="n"/>
      <c r="L247" s="22">
        <f>IF(I247="","",MAX(0,I247-K247))</f>
        <v/>
      </c>
      <c r="M247" s="19" t="n"/>
      <c r="N247" s="18" t="n"/>
      <c r="O247" s="18" t="n"/>
      <c r="P247" s="23" t="n"/>
      <c r="Q247" s="18" t="n"/>
      <c r="R247" s="18" t="n"/>
      <c r="S247" s="18" t="n"/>
      <c r="T247" s="24">
        <f>IF(E247="","",E247-TODAY())</f>
        <v/>
      </c>
      <c r="U247" s="24">
        <f>IF(OR(M247="Paid",M247="Cancelled",E247=""),"",IF(E247&lt;TODAY(),"OVERDUE",IF(E247&lt;=TODAY()+'Setup &amp; Lists'!$M$7,"DUE SOON","")))</f>
        <v/>
      </c>
    </row>
    <row r="248">
      <c r="A248" s="18" t="n"/>
      <c r="B248" s="19" t="n"/>
      <c r="C248" s="19" t="n"/>
      <c r="D248" s="19" t="n"/>
      <c r="E248" s="20" t="n"/>
      <c r="F248" s="19" t="n"/>
      <c r="G248" s="19" t="n"/>
      <c r="H248" s="19" t="n"/>
      <c r="I248" s="21" t="n"/>
      <c r="J248" s="19" t="n"/>
      <c r="K248" s="21" t="n"/>
      <c r="L248" s="22">
        <f>IF(I248="","",MAX(0,I248-K248))</f>
        <v/>
      </c>
      <c r="M248" s="19" t="n"/>
      <c r="N248" s="18" t="n"/>
      <c r="O248" s="18" t="n"/>
      <c r="P248" s="23" t="n"/>
      <c r="Q248" s="18" t="n"/>
      <c r="R248" s="18" t="n"/>
      <c r="S248" s="18" t="n"/>
      <c r="T248" s="24">
        <f>IF(E248="","",E248-TODAY())</f>
        <v/>
      </c>
      <c r="U248" s="24">
        <f>IF(OR(M248="Paid",M248="Cancelled",E248=""),"",IF(E248&lt;TODAY(),"OVERDUE",IF(E248&lt;=TODAY()+'Setup &amp; Lists'!$M$7,"DUE SOON","")))</f>
        <v/>
      </c>
    </row>
    <row r="249">
      <c r="A249" s="18" t="n"/>
      <c r="B249" s="19" t="n"/>
      <c r="C249" s="19" t="n"/>
      <c r="D249" s="19" t="n"/>
      <c r="E249" s="20" t="n"/>
      <c r="F249" s="19" t="n"/>
      <c r="G249" s="19" t="n"/>
      <c r="H249" s="19" t="n"/>
      <c r="I249" s="21" t="n"/>
      <c r="J249" s="19" t="n"/>
      <c r="K249" s="21" t="n"/>
      <c r="L249" s="22">
        <f>IF(I249="","",MAX(0,I249-K249))</f>
        <v/>
      </c>
      <c r="M249" s="19" t="n"/>
      <c r="N249" s="18" t="n"/>
      <c r="O249" s="18" t="n"/>
      <c r="P249" s="23" t="n"/>
      <c r="Q249" s="18" t="n"/>
      <c r="R249" s="18" t="n"/>
      <c r="S249" s="18" t="n"/>
      <c r="T249" s="24">
        <f>IF(E249="","",E249-TODAY())</f>
        <v/>
      </c>
      <c r="U249" s="24">
        <f>IF(OR(M249="Paid",M249="Cancelled",E249=""),"",IF(E249&lt;TODAY(),"OVERDUE",IF(E249&lt;=TODAY()+'Setup &amp; Lists'!$M$7,"DUE SOON","")))</f>
        <v/>
      </c>
    </row>
    <row r="250">
      <c r="A250" s="18" t="n"/>
      <c r="B250" s="19" t="n"/>
      <c r="C250" s="19" t="n"/>
      <c r="D250" s="19" t="n"/>
      <c r="E250" s="20" t="n"/>
      <c r="F250" s="19" t="n"/>
      <c r="G250" s="19" t="n"/>
      <c r="H250" s="19" t="n"/>
      <c r="I250" s="21" t="n"/>
      <c r="J250" s="19" t="n"/>
      <c r="K250" s="21" t="n"/>
      <c r="L250" s="22">
        <f>IF(I250="","",MAX(0,I250-K250))</f>
        <v/>
      </c>
      <c r="M250" s="19" t="n"/>
      <c r="N250" s="18" t="n"/>
      <c r="O250" s="18" t="n"/>
      <c r="P250" s="23" t="n"/>
      <c r="Q250" s="18" t="n"/>
      <c r="R250" s="18" t="n"/>
      <c r="S250" s="18" t="n"/>
      <c r="T250" s="24">
        <f>IF(E250="","",E250-TODAY())</f>
        <v/>
      </c>
      <c r="U250" s="24">
        <f>IF(OR(M250="Paid",M250="Cancelled",E250=""),"",IF(E250&lt;TODAY(),"OVERDUE",IF(E250&lt;=TODAY()+'Setup &amp; Lists'!$M$7,"DUE SOON","")))</f>
        <v/>
      </c>
    </row>
    <row r="251">
      <c r="A251" s="18" t="n"/>
      <c r="B251" s="19" t="n"/>
      <c r="C251" s="19" t="n"/>
      <c r="D251" s="19" t="n"/>
      <c r="E251" s="20" t="n"/>
      <c r="F251" s="19" t="n"/>
      <c r="G251" s="19" t="n"/>
      <c r="H251" s="19" t="n"/>
      <c r="I251" s="21" t="n"/>
      <c r="J251" s="19" t="n"/>
      <c r="K251" s="21" t="n"/>
      <c r="L251" s="22">
        <f>IF(I251="","",MAX(0,I251-K251))</f>
        <v/>
      </c>
      <c r="M251" s="19" t="n"/>
      <c r="N251" s="18" t="n"/>
      <c r="O251" s="18" t="n"/>
      <c r="P251" s="23" t="n"/>
      <c r="Q251" s="18" t="n"/>
      <c r="R251" s="18" t="n"/>
      <c r="S251" s="18" t="n"/>
      <c r="T251" s="24">
        <f>IF(E251="","",E251-TODAY())</f>
        <v/>
      </c>
      <c r="U251" s="24">
        <f>IF(OR(M251="Paid",M251="Cancelled",E251=""),"",IF(E251&lt;TODAY(),"OVERDUE",IF(E251&lt;=TODAY()+'Setup &amp; Lists'!$M$7,"DUE SOON","")))</f>
        <v/>
      </c>
    </row>
    <row r="252">
      <c r="A252" s="18" t="n"/>
      <c r="B252" s="19" t="n"/>
      <c r="C252" s="19" t="n"/>
      <c r="D252" s="19" t="n"/>
      <c r="E252" s="20" t="n"/>
      <c r="F252" s="19" t="n"/>
      <c r="G252" s="19" t="n"/>
      <c r="H252" s="19" t="n"/>
      <c r="I252" s="21" t="n"/>
      <c r="J252" s="19" t="n"/>
      <c r="K252" s="21" t="n"/>
      <c r="L252" s="22">
        <f>IF(I252="","",MAX(0,I252-K252))</f>
        <v/>
      </c>
      <c r="M252" s="19" t="n"/>
      <c r="N252" s="18" t="n"/>
      <c r="O252" s="18" t="n"/>
      <c r="P252" s="23" t="n"/>
      <c r="Q252" s="18" t="n"/>
      <c r="R252" s="18" t="n"/>
      <c r="S252" s="18" t="n"/>
      <c r="T252" s="24">
        <f>IF(E252="","",E252-TODAY())</f>
        <v/>
      </c>
      <c r="U252" s="24">
        <f>IF(OR(M252="Paid",M252="Cancelled",E252=""),"",IF(E252&lt;TODAY(),"OVERDUE",IF(E252&lt;=TODAY()+'Setup &amp; Lists'!$M$7,"DUE SOON","")))</f>
        <v/>
      </c>
    </row>
    <row r="253">
      <c r="A253" s="18" t="n"/>
      <c r="B253" s="19" t="n"/>
      <c r="C253" s="19" t="n"/>
      <c r="D253" s="19" t="n"/>
      <c r="E253" s="20" t="n"/>
      <c r="F253" s="19" t="n"/>
      <c r="G253" s="19" t="n"/>
      <c r="H253" s="19" t="n"/>
      <c r="I253" s="21" t="n"/>
      <c r="J253" s="19" t="n"/>
      <c r="K253" s="21" t="n"/>
      <c r="L253" s="22">
        <f>IF(I253="","",MAX(0,I253-K253))</f>
        <v/>
      </c>
      <c r="M253" s="19" t="n"/>
      <c r="N253" s="18" t="n"/>
      <c r="O253" s="18" t="n"/>
      <c r="P253" s="23" t="n"/>
      <c r="Q253" s="18" t="n"/>
      <c r="R253" s="18" t="n"/>
      <c r="S253" s="18" t="n"/>
      <c r="T253" s="24">
        <f>IF(E253="","",E253-TODAY())</f>
        <v/>
      </c>
      <c r="U253" s="24">
        <f>IF(OR(M253="Paid",M253="Cancelled",E253=""),"",IF(E253&lt;TODAY(),"OVERDUE",IF(E253&lt;=TODAY()+'Setup &amp; Lists'!$M$7,"DUE SOON","")))</f>
        <v/>
      </c>
    </row>
    <row r="254">
      <c r="A254" s="18" t="n"/>
      <c r="B254" s="19" t="n"/>
      <c r="C254" s="19" t="n"/>
      <c r="D254" s="19" t="n"/>
      <c r="E254" s="20" t="n"/>
      <c r="F254" s="19" t="n"/>
      <c r="G254" s="19" t="n"/>
      <c r="H254" s="19" t="n"/>
      <c r="I254" s="21" t="n"/>
      <c r="J254" s="19" t="n"/>
      <c r="K254" s="21" t="n"/>
      <c r="L254" s="22">
        <f>IF(I254="","",MAX(0,I254-K254))</f>
        <v/>
      </c>
      <c r="M254" s="19" t="n"/>
      <c r="N254" s="18" t="n"/>
      <c r="O254" s="18" t="n"/>
      <c r="P254" s="23" t="n"/>
      <c r="Q254" s="18" t="n"/>
      <c r="R254" s="18" t="n"/>
      <c r="S254" s="18" t="n"/>
      <c r="T254" s="24">
        <f>IF(E254="","",E254-TODAY())</f>
        <v/>
      </c>
      <c r="U254" s="24">
        <f>IF(OR(M254="Paid",M254="Cancelled",E254=""),"",IF(E254&lt;TODAY(),"OVERDUE",IF(E254&lt;=TODAY()+'Setup &amp; Lists'!$M$7,"DUE SOON","")))</f>
        <v/>
      </c>
    </row>
    <row r="255">
      <c r="A255" s="18" t="n"/>
      <c r="B255" s="19" t="n"/>
      <c r="C255" s="19" t="n"/>
      <c r="D255" s="19" t="n"/>
      <c r="E255" s="20" t="n"/>
      <c r="F255" s="19" t="n"/>
      <c r="G255" s="19" t="n"/>
      <c r="H255" s="19" t="n"/>
      <c r="I255" s="21" t="n"/>
      <c r="J255" s="19" t="n"/>
      <c r="K255" s="21" t="n"/>
      <c r="L255" s="22">
        <f>IF(I255="","",MAX(0,I255-K255))</f>
        <v/>
      </c>
      <c r="M255" s="19" t="n"/>
      <c r="N255" s="18" t="n"/>
      <c r="O255" s="18" t="n"/>
      <c r="P255" s="23" t="n"/>
      <c r="Q255" s="18" t="n"/>
      <c r="R255" s="18" t="n"/>
      <c r="S255" s="18" t="n"/>
      <c r="T255" s="24">
        <f>IF(E255="","",E255-TODAY())</f>
        <v/>
      </c>
      <c r="U255" s="24">
        <f>IF(OR(M255="Paid",M255="Cancelled",E255=""),"",IF(E255&lt;TODAY(),"OVERDUE",IF(E255&lt;=TODAY()+'Setup &amp; Lists'!$M$7,"DUE SOON","")))</f>
        <v/>
      </c>
    </row>
    <row r="256">
      <c r="A256" s="18" t="n"/>
      <c r="B256" s="19" t="n"/>
      <c r="C256" s="19" t="n"/>
      <c r="D256" s="19" t="n"/>
      <c r="E256" s="20" t="n"/>
      <c r="F256" s="19" t="n"/>
      <c r="G256" s="19" t="n"/>
      <c r="H256" s="19" t="n"/>
      <c r="I256" s="21" t="n"/>
      <c r="J256" s="19" t="n"/>
      <c r="K256" s="21" t="n"/>
      <c r="L256" s="22">
        <f>IF(I256="","",MAX(0,I256-K256))</f>
        <v/>
      </c>
      <c r="M256" s="19" t="n"/>
      <c r="N256" s="18" t="n"/>
      <c r="O256" s="18" t="n"/>
      <c r="P256" s="23" t="n"/>
      <c r="Q256" s="18" t="n"/>
      <c r="R256" s="18" t="n"/>
      <c r="S256" s="18" t="n"/>
      <c r="T256" s="24">
        <f>IF(E256="","",E256-TODAY())</f>
        <v/>
      </c>
      <c r="U256" s="24">
        <f>IF(OR(M256="Paid",M256="Cancelled",E256=""),"",IF(E256&lt;TODAY(),"OVERDUE",IF(E256&lt;=TODAY()+'Setup &amp; Lists'!$M$7,"DUE SOON","")))</f>
        <v/>
      </c>
    </row>
    <row r="257">
      <c r="A257" s="18" t="n"/>
      <c r="B257" s="19" t="n"/>
      <c r="C257" s="19" t="n"/>
      <c r="D257" s="19" t="n"/>
      <c r="E257" s="20" t="n"/>
      <c r="F257" s="19" t="n"/>
      <c r="G257" s="19" t="n"/>
      <c r="H257" s="19" t="n"/>
      <c r="I257" s="21" t="n"/>
      <c r="J257" s="19" t="n"/>
      <c r="K257" s="21" t="n"/>
      <c r="L257" s="22">
        <f>IF(I257="","",MAX(0,I257-K257))</f>
        <v/>
      </c>
      <c r="M257" s="19" t="n"/>
      <c r="N257" s="18" t="n"/>
      <c r="O257" s="18" t="n"/>
      <c r="P257" s="23" t="n"/>
      <c r="Q257" s="18" t="n"/>
      <c r="R257" s="18" t="n"/>
      <c r="S257" s="18" t="n"/>
      <c r="T257" s="24">
        <f>IF(E257="","",E257-TODAY())</f>
        <v/>
      </c>
      <c r="U257" s="24">
        <f>IF(OR(M257="Paid",M257="Cancelled",E257=""),"",IF(E257&lt;TODAY(),"OVERDUE",IF(E257&lt;=TODAY()+'Setup &amp; Lists'!$M$7,"DUE SOON","")))</f>
        <v/>
      </c>
    </row>
    <row r="258">
      <c r="A258" s="18" t="n"/>
      <c r="B258" s="19" t="n"/>
      <c r="C258" s="19" t="n"/>
      <c r="D258" s="19" t="n"/>
      <c r="E258" s="20" t="n"/>
      <c r="F258" s="19" t="n"/>
      <c r="G258" s="19" t="n"/>
      <c r="H258" s="19" t="n"/>
      <c r="I258" s="21" t="n"/>
      <c r="J258" s="19" t="n"/>
      <c r="K258" s="21" t="n"/>
      <c r="L258" s="22">
        <f>IF(I258="","",MAX(0,I258-K258))</f>
        <v/>
      </c>
      <c r="M258" s="19" t="n"/>
      <c r="N258" s="18" t="n"/>
      <c r="O258" s="18" t="n"/>
      <c r="P258" s="23" t="n"/>
      <c r="Q258" s="18" t="n"/>
      <c r="R258" s="18" t="n"/>
      <c r="S258" s="18" t="n"/>
      <c r="T258" s="24">
        <f>IF(E258="","",E258-TODAY())</f>
        <v/>
      </c>
      <c r="U258" s="24">
        <f>IF(OR(M258="Paid",M258="Cancelled",E258=""),"",IF(E258&lt;TODAY(),"OVERDUE",IF(E258&lt;=TODAY()+'Setup &amp; Lists'!$M$7,"DUE SOON","")))</f>
        <v/>
      </c>
    </row>
    <row r="259">
      <c r="A259" s="18" t="n"/>
      <c r="B259" s="19" t="n"/>
      <c r="C259" s="19" t="n"/>
      <c r="D259" s="19" t="n"/>
      <c r="E259" s="20" t="n"/>
      <c r="F259" s="19" t="n"/>
      <c r="G259" s="19" t="n"/>
      <c r="H259" s="19" t="n"/>
      <c r="I259" s="21" t="n"/>
      <c r="J259" s="19" t="n"/>
      <c r="K259" s="21" t="n"/>
      <c r="L259" s="22">
        <f>IF(I259="","",MAX(0,I259-K259))</f>
        <v/>
      </c>
      <c r="M259" s="19" t="n"/>
      <c r="N259" s="18" t="n"/>
      <c r="O259" s="18" t="n"/>
      <c r="P259" s="23" t="n"/>
      <c r="Q259" s="18" t="n"/>
      <c r="R259" s="18" t="n"/>
      <c r="S259" s="18" t="n"/>
      <c r="T259" s="24">
        <f>IF(E259="","",E259-TODAY())</f>
        <v/>
      </c>
      <c r="U259" s="24">
        <f>IF(OR(M259="Paid",M259="Cancelled",E259=""),"",IF(E259&lt;TODAY(),"OVERDUE",IF(E259&lt;=TODAY()+'Setup &amp; Lists'!$M$7,"DUE SOON","")))</f>
        <v/>
      </c>
    </row>
    <row r="260">
      <c r="A260" s="18" t="n"/>
      <c r="B260" s="19" t="n"/>
      <c r="C260" s="19" t="n"/>
      <c r="D260" s="19" t="n"/>
      <c r="E260" s="20" t="n"/>
      <c r="F260" s="19" t="n"/>
      <c r="G260" s="19" t="n"/>
      <c r="H260" s="19" t="n"/>
      <c r="I260" s="21" t="n"/>
      <c r="J260" s="19" t="n"/>
      <c r="K260" s="21" t="n"/>
      <c r="L260" s="22">
        <f>IF(I260="","",MAX(0,I260-K260))</f>
        <v/>
      </c>
      <c r="M260" s="19" t="n"/>
      <c r="N260" s="18" t="n"/>
      <c r="O260" s="18" t="n"/>
      <c r="P260" s="23" t="n"/>
      <c r="Q260" s="18" t="n"/>
      <c r="R260" s="18" t="n"/>
      <c r="S260" s="18" t="n"/>
      <c r="T260" s="24">
        <f>IF(E260="","",E260-TODAY())</f>
        <v/>
      </c>
      <c r="U260" s="24">
        <f>IF(OR(M260="Paid",M260="Cancelled",E260=""),"",IF(E260&lt;TODAY(),"OVERDUE",IF(E260&lt;=TODAY()+'Setup &amp; Lists'!$M$7,"DUE SOON","")))</f>
        <v/>
      </c>
    </row>
    <row r="261">
      <c r="A261" s="18" t="n"/>
      <c r="B261" s="19" t="n"/>
      <c r="C261" s="19" t="n"/>
      <c r="D261" s="19" t="n"/>
      <c r="E261" s="20" t="n"/>
      <c r="F261" s="19" t="n"/>
      <c r="G261" s="19" t="n"/>
      <c r="H261" s="19" t="n"/>
      <c r="I261" s="21" t="n"/>
      <c r="J261" s="19" t="n"/>
      <c r="K261" s="21" t="n"/>
      <c r="L261" s="22">
        <f>IF(I261="","",MAX(0,I261-K261))</f>
        <v/>
      </c>
      <c r="M261" s="19" t="n"/>
      <c r="N261" s="18" t="n"/>
      <c r="O261" s="18" t="n"/>
      <c r="P261" s="23" t="n"/>
      <c r="Q261" s="18" t="n"/>
      <c r="R261" s="18" t="n"/>
      <c r="S261" s="18" t="n"/>
      <c r="T261" s="24">
        <f>IF(E261="","",E261-TODAY())</f>
        <v/>
      </c>
      <c r="U261" s="24">
        <f>IF(OR(M261="Paid",M261="Cancelled",E261=""),"",IF(E261&lt;TODAY(),"OVERDUE",IF(E261&lt;=TODAY()+'Setup &amp; Lists'!$M$7,"DUE SOON","")))</f>
        <v/>
      </c>
    </row>
    <row r="262">
      <c r="A262" s="18" t="n"/>
      <c r="B262" s="19" t="n"/>
      <c r="C262" s="19" t="n"/>
      <c r="D262" s="19" t="n"/>
      <c r="E262" s="20" t="n"/>
      <c r="F262" s="19" t="n"/>
      <c r="G262" s="19" t="n"/>
      <c r="H262" s="19" t="n"/>
      <c r="I262" s="21" t="n"/>
      <c r="J262" s="19" t="n"/>
      <c r="K262" s="21" t="n"/>
      <c r="L262" s="22">
        <f>IF(I262="","",MAX(0,I262-K262))</f>
        <v/>
      </c>
      <c r="M262" s="19" t="n"/>
      <c r="N262" s="18" t="n"/>
      <c r="O262" s="18" t="n"/>
      <c r="P262" s="23" t="n"/>
      <c r="Q262" s="18" t="n"/>
      <c r="R262" s="18" t="n"/>
      <c r="S262" s="18" t="n"/>
      <c r="T262" s="24">
        <f>IF(E262="","",E262-TODAY())</f>
        <v/>
      </c>
      <c r="U262" s="24">
        <f>IF(OR(M262="Paid",M262="Cancelled",E262=""),"",IF(E262&lt;TODAY(),"OVERDUE",IF(E262&lt;=TODAY()+'Setup &amp; Lists'!$M$7,"DUE SOON","")))</f>
        <v/>
      </c>
    </row>
    <row r="263">
      <c r="A263" s="18" t="n"/>
      <c r="B263" s="19" t="n"/>
      <c r="C263" s="19" t="n"/>
      <c r="D263" s="19" t="n"/>
      <c r="E263" s="20" t="n"/>
      <c r="F263" s="19" t="n"/>
      <c r="G263" s="19" t="n"/>
      <c r="H263" s="19" t="n"/>
      <c r="I263" s="21" t="n"/>
      <c r="J263" s="19" t="n"/>
      <c r="K263" s="21" t="n"/>
      <c r="L263" s="22">
        <f>IF(I263="","",MAX(0,I263-K263))</f>
        <v/>
      </c>
      <c r="M263" s="19" t="n"/>
      <c r="N263" s="18" t="n"/>
      <c r="O263" s="18" t="n"/>
      <c r="P263" s="23" t="n"/>
      <c r="Q263" s="18" t="n"/>
      <c r="R263" s="18" t="n"/>
      <c r="S263" s="18" t="n"/>
      <c r="T263" s="24">
        <f>IF(E263="","",E263-TODAY())</f>
        <v/>
      </c>
      <c r="U263" s="24">
        <f>IF(OR(M263="Paid",M263="Cancelled",E263=""),"",IF(E263&lt;TODAY(),"OVERDUE",IF(E263&lt;=TODAY()+'Setup &amp; Lists'!$M$7,"DUE SOON","")))</f>
        <v/>
      </c>
    </row>
    <row r="264">
      <c r="A264" s="18" t="n"/>
      <c r="B264" s="19" t="n"/>
      <c r="C264" s="19" t="n"/>
      <c r="D264" s="19" t="n"/>
      <c r="E264" s="20" t="n"/>
      <c r="F264" s="19" t="n"/>
      <c r="G264" s="19" t="n"/>
      <c r="H264" s="19" t="n"/>
      <c r="I264" s="21" t="n"/>
      <c r="J264" s="19" t="n"/>
      <c r="K264" s="21" t="n"/>
      <c r="L264" s="22">
        <f>IF(I264="","",MAX(0,I264-K264))</f>
        <v/>
      </c>
      <c r="M264" s="19" t="n"/>
      <c r="N264" s="18" t="n"/>
      <c r="O264" s="18" t="n"/>
      <c r="P264" s="23" t="n"/>
      <c r="Q264" s="18" t="n"/>
      <c r="R264" s="18" t="n"/>
      <c r="S264" s="18" t="n"/>
      <c r="T264" s="24">
        <f>IF(E264="","",E264-TODAY())</f>
        <v/>
      </c>
      <c r="U264" s="24">
        <f>IF(OR(M264="Paid",M264="Cancelled",E264=""),"",IF(E264&lt;TODAY(),"OVERDUE",IF(E264&lt;=TODAY()+'Setup &amp; Lists'!$M$7,"DUE SOON","")))</f>
        <v/>
      </c>
    </row>
    <row r="265">
      <c r="A265" s="18" t="n"/>
      <c r="B265" s="19" t="n"/>
      <c r="C265" s="19" t="n"/>
      <c r="D265" s="19" t="n"/>
      <c r="E265" s="20" t="n"/>
      <c r="F265" s="19" t="n"/>
      <c r="G265" s="19" t="n"/>
      <c r="H265" s="19" t="n"/>
      <c r="I265" s="21" t="n"/>
      <c r="J265" s="19" t="n"/>
      <c r="K265" s="21" t="n"/>
      <c r="L265" s="22">
        <f>IF(I265="","",MAX(0,I265-K265))</f>
        <v/>
      </c>
      <c r="M265" s="19" t="n"/>
      <c r="N265" s="18" t="n"/>
      <c r="O265" s="18" t="n"/>
      <c r="P265" s="23" t="n"/>
      <c r="Q265" s="18" t="n"/>
      <c r="R265" s="18" t="n"/>
      <c r="S265" s="18" t="n"/>
      <c r="T265" s="24">
        <f>IF(E265="","",E265-TODAY())</f>
        <v/>
      </c>
      <c r="U265" s="24">
        <f>IF(OR(M265="Paid",M265="Cancelled",E265=""),"",IF(E265&lt;TODAY(),"OVERDUE",IF(E265&lt;=TODAY()+'Setup &amp; Lists'!$M$7,"DUE SOON","")))</f>
        <v/>
      </c>
    </row>
    <row r="266">
      <c r="A266" s="18" t="n"/>
      <c r="B266" s="19" t="n"/>
      <c r="C266" s="19" t="n"/>
      <c r="D266" s="19" t="n"/>
      <c r="E266" s="20" t="n"/>
      <c r="F266" s="19" t="n"/>
      <c r="G266" s="19" t="n"/>
      <c r="H266" s="19" t="n"/>
      <c r="I266" s="21" t="n"/>
      <c r="J266" s="19" t="n"/>
      <c r="K266" s="21" t="n"/>
      <c r="L266" s="22">
        <f>IF(I266="","",MAX(0,I266-K266))</f>
        <v/>
      </c>
      <c r="M266" s="19" t="n"/>
      <c r="N266" s="18" t="n"/>
      <c r="O266" s="18" t="n"/>
      <c r="P266" s="23" t="n"/>
      <c r="Q266" s="18" t="n"/>
      <c r="R266" s="18" t="n"/>
      <c r="S266" s="18" t="n"/>
      <c r="T266" s="24">
        <f>IF(E266="","",E266-TODAY())</f>
        <v/>
      </c>
      <c r="U266" s="24">
        <f>IF(OR(M266="Paid",M266="Cancelled",E266=""),"",IF(E266&lt;TODAY(),"OVERDUE",IF(E266&lt;=TODAY()+'Setup &amp; Lists'!$M$7,"DUE SOON","")))</f>
        <v/>
      </c>
    </row>
    <row r="267">
      <c r="A267" s="18" t="n"/>
      <c r="B267" s="19" t="n"/>
      <c r="C267" s="19" t="n"/>
      <c r="D267" s="19" t="n"/>
      <c r="E267" s="20" t="n"/>
      <c r="F267" s="19" t="n"/>
      <c r="G267" s="19" t="n"/>
      <c r="H267" s="19" t="n"/>
      <c r="I267" s="21" t="n"/>
      <c r="J267" s="19" t="n"/>
      <c r="K267" s="21" t="n"/>
      <c r="L267" s="22">
        <f>IF(I267="","",MAX(0,I267-K267))</f>
        <v/>
      </c>
      <c r="M267" s="19" t="n"/>
      <c r="N267" s="18" t="n"/>
      <c r="O267" s="18" t="n"/>
      <c r="P267" s="23" t="n"/>
      <c r="Q267" s="18" t="n"/>
      <c r="R267" s="18" t="n"/>
      <c r="S267" s="18" t="n"/>
      <c r="T267" s="24">
        <f>IF(E267="","",E267-TODAY())</f>
        <v/>
      </c>
      <c r="U267" s="24">
        <f>IF(OR(M267="Paid",M267="Cancelled",E267=""),"",IF(E267&lt;TODAY(),"OVERDUE",IF(E267&lt;=TODAY()+'Setup &amp; Lists'!$M$7,"DUE SOON","")))</f>
        <v/>
      </c>
    </row>
    <row r="268">
      <c r="A268" s="18" t="n"/>
      <c r="B268" s="19" t="n"/>
      <c r="C268" s="19" t="n"/>
      <c r="D268" s="19" t="n"/>
      <c r="E268" s="20" t="n"/>
      <c r="F268" s="19" t="n"/>
      <c r="G268" s="19" t="n"/>
      <c r="H268" s="19" t="n"/>
      <c r="I268" s="21" t="n"/>
      <c r="J268" s="19" t="n"/>
      <c r="K268" s="21" t="n"/>
      <c r="L268" s="22">
        <f>IF(I268="","",MAX(0,I268-K268))</f>
        <v/>
      </c>
      <c r="M268" s="19" t="n"/>
      <c r="N268" s="18" t="n"/>
      <c r="O268" s="18" t="n"/>
      <c r="P268" s="23" t="n"/>
      <c r="Q268" s="18" t="n"/>
      <c r="R268" s="18" t="n"/>
      <c r="S268" s="18" t="n"/>
      <c r="T268" s="24">
        <f>IF(E268="","",E268-TODAY())</f>
        <v/>
      </c>
      <c r="U268" s="24">
        <f>IF(OR(M268="Paid",M268="Cancelled",E268=""),"",IF(E268&lt;TODAY(),"OVERDUE",IF(E268&lt;=TODAY()+'Setup &amp; Lists'!$M$7,"DUE SOON","")))</f>
        <v/>
      </c>
    </row>
    <row r="269">
      <c r="A269" s="18" t="n"/>
      <c r="B269" s="19" t="n"/>
      <c r="C269" s="19" t="n"/>
      <c r="D269" s="19" t="n"/>
      <c r="E269" s="20" t="n"/>
      <c r="F269" s="19" t="n"/>
      <c r="G269" s="19" t="n"/>
      <c r="H269" s="19" t="n"/>
      <c r="I269" s="21" t="n"/>
      <c r="J269" s="19" t="n"/>
      <c r="K269" s="21" t="n"/>
      <c r="L269" s="22">
        <f>IF(I269="","",MAX(0,I269-K269))</f>
        <v/>
      </c>
      <c r="M269" s="19" t="n"/>
      <c r="N269" s="18" t="n"/>
      <c r="O269" s="18" t="n"/>
      <c r="P269" s="23" t="n"/>
      <c r="Q269" s="18" t="n"/>
      <c r="R269" s="18" t="n"/>
      <c r="S269" s="18" t="n"/>
      <c r="T269" s="24">
        <f>IF(E269="","",E269-TODAY())</f>
        <v/>
      </c>
      <c r="U269" s="24">
        <f>IF(OR(M269="Paid",M269="Cancelled",E269=""),"",IF(E269&lt;TODAY(),"OVERDUE",IF(E269&lt;=TODAY()+'Setup &amp; Lists'!$M$7,"DUE SOON","")))</f>
        <v/>
      </c>
    </row>
    <row r="270">
      <c r="A270" s="18" t="n"/>
      <c r="B270" s="19" t="n"/>
      <c r="C270" s="19" t="n"/>
      <c r="D270" s="19" t="n"/>
      <c r="E270" s="20" t="n"/>
      <c r="F270" s="19" t="n"/>
      <c r="G270" s="19" t="n"/>
      <c r="H270" s="19" t="n"/>
      <c r="I270" s="21" t="n"/>
      <c r="J270" s="19" t="n"/>
      <c r="K270" s="21" t="n"/>
      <c r="L270" s="22">
        <f>IF(I270="","",MAX(0,I270-K270))</f>
        <v/>
      </c>
      <c r="M270" s="19" t="n"/>
      <c r="N270" s="18" t="n"/>
      <c r="O270" s="18" t="n"/>
      <c r="P270" s="23" t="n"/>
      <c r="Q270" s="18" t="n"/>
      <c r="R270" s="18" t="n"/>
      <c r="S270" s="18" t="n"/>
      <c r="T270" s="24">
        <f>IF(E270="","",E270-TODAY())</f>
        <v/>
      </c>
      <c r="U270" s="24">
        <f>IF(OR(M270="Paid",M270="Cancelled",E270=""),"",IF(E270&lt;TODAY(),"OVERDUE",IF(E270&lt;=TODAY()+'Setup &amp; Lists'!$M$7,"DUE SOON","")))</f>
        <v/>
      </c>
    </row>
    <row r="271">
      <c r="A271" s="18" t="n"/>
      <c r="B271" s="19" t="n"/>
      <c r="C271" s="19" t="n"/>
      <c r="D271" s="19" t="n"/>
      <c r="E271" s="20" t="n"/>
      <c r="F271" s="19" t="n"/>
      <c r="G271" s="19" t="n"/>
      <c r="H271" s="19" t="n"/>
      <c r="I271" s="21" t="n"/>
      <c r="J271" s="19" t="n"/>
      <c r="K271" s="21" t="n"/>
      <c r="L271" s="22">
        <f>IF(I271="","",MAX(0,I271-K271))</f>
        <v/>
      </c>
      <c r="M271" s="19" t="n"/>
      <c r="N271" s="18" t="n"/>
      <c r="O271" s="18" t="n"/>
      <c r="P271" s="23" t="n"/>
      <c r="Q271" s="18" t="n"/>
      <c r="R271" s="18" t="n"/>
      <c r="S271" s="18" t="n"/>
      <c r="T271" s="24">
        <f>IF(E271="","",E271-TODAY())</f>
        <v/>
      </c>
      <c r="U271" s="24">
        <f>IF(OR(M271="Paid",M271="Cancelled",E271=""),"",IF(E271&lt;TODAY(),"OVERDUE",IF(E271&lt;=TODAY()+'Setup &amp; Lists'!$M$7,"DUE SOON","")))</f>
        <v/>
      </c>
    </row>
    <row r="272">
      <c r="A272" s="18" t="n"/>
      <c r="B272" s="19" t="n"/>
      <c r="C272" s="19" t="n"/>
      <c r="D272" s="19" t="n"/>
      <c r="E272" s="20" t="n"/>
      <c r="F272" s="19" t="n"/>
      <c r="G272" s="19" t="n"/>
      <c r="H272" s="19" t="n"/>
      <c r="I272" s="21" t="n"/>
      <c r="J272" s="19" t="n"/>
      <c r="K272" s="21" t="n"/>
      <c r="L272" s="22">
        <f>IF(I272="","",MAX(0,I272-K272))</f>
        <v/>
      </c>
      <c r="M272" s="19" t="n"/>
      <c r="N272" s="18" t="n"/>
      <c r="O272" s="18" t="n"/>
      <c r="P272" s="23" t="n"/>
      <c r="Q272" s="18" t="n"/>
      <c r="R272" s="18" t="n"/>
      <c r="S272" s="18" t="n"/>
      <c r="T272" s="24">
        <f>IF(E272="","",E272-TODAY())</f>
        <v/>
      </c>
      <c r="U272" s="24">
        <f>IF(OR(M272="Paid",M272="Cancelled",E272=""),"",IF(E272&lt;TODAY(),"OVERDUE",IF(E272&lt;=TODAY()+'Setup &amp; Lists'!$M$7,"DUE SOON","")))</f>
        <v/>
      </c>
    </row>
    <row r="273">
      <c r="A273" s="18" t="n"/>
      <c r="B273" s="19" t="n"/>
      <c r="C273" s="19" t="n"/>
      <c r="D273" s="19" t="n"/>
      <c r="E273" s="20" t="n"/>
      <c r="F273" s="19" t="n"/>
      <c r="G273" s="19" t="n"/>
      <c r="H273" s="19" t="n"/>
      <c r="I273" s="21" t="n"/>
      <c r="J273" s="19" t="n"/>
      <c r="K273" s="21" t="n"/>
      <c r="L273" s="22">
        <f>IF(I273="","",MAX(0,I273-K273))</f>
        <v/>
      </c>
      <c r="M273" s="19" t="n"/>
      <c r="N273" s="18" t="n"/>
      <c r="O273" s="18" t="n"/>
      <c r="P273" s="23" t="n"/>
      <c r="Q273" s="18" t="n"/>
      <c r="R273" s="18" t="n"/>
      <c r="S273" s="18" t="n"/>
      <c r="T273" s="24">
        <f>IF(E273="","",E273-TODAY())</f>
        <v/>
      </c>
      <c r="U273" s="24">
        <f>IF(OR(M273="Paid",M273="Cancelled",E273=""),"",IF(E273&lt;TODAY(),"OVERDUE",IF(E273&lt;=TODAY()+'Setup &amp; Lists'!$M$7,"DUE SOON","")))</f>
        <v/>
      </c>
    </row>
    <row r="274">
      <c r="A274" s="18" t="n"/>
      <c r="B274" s="19" t="n"/>
      <c r="C274" s="19" t="n"/>
      <c r="D274" s="19" t="n"/>
      <c r="E274" s="20" t="n"/>
      <c r="F274" s="19" t="n"/>
      <c r="G274" s="19" t="n"/>
      <c r="H274" s="19" t="n"/>
      <c r="I274" s="21" t="n"/>
      <c r="J274" s="19" t="n"/>
      <c r="K274" s="21" t="n"/>
      <c r="L274" s="22">
        <f>IF(I274="","",MAX(0,I274-K274))</f>
        <v/>
      </c>
      <c r="M274" s="19" t="n"/>
      <c r="N274" s="18" t="n"/>
      <c r="O274" s="18" t="n"/>
      <c r="P274" s="23" t="n"/>
      <c r="Q274" s="18" t="n"/>
      <c r="R274" s="18" t="n"/>
      <c r="S274" s="18" t="n"/>
      <c r="T274" s="24">
        <f>IF(E274="","",E274-TODAY())</f>
        <v/>
      </c>
      <c r="U274" s="24">
        <f>IF(OR(M274="Paid",M274="Cancelled",E274=""),"",IF(E274&lt;TODAY(),"OVERDUE",IF(E274&lt;=TODAY()+'Setup &amp; Lists'!$M$7,"DUE SOON","")))</f>
        <v/>
      </c>
    </row>
    <row r="275">
      <c r="A275" s="18" t="n"/>
      <c r="B275" s="19" t="n"/>
      <c r="C275" s="19" t="n"/>
      <c r="D275" s="19" t="n"/>
      <c r="E275" s="20" t="n"/>
      <c r="F275" s="19" t="n"/>
      <c r="G275" s="19" t="n"/>
      <c r="H275" s="19" t="n"/>
      <c r="I275" s="21" t="n"/>
      <c r="J275" s="19" t="n"/>
      <c r="K275" s="21" t="n"/>
      <c r="L275" s="22">
        <f>IF(I275="","",MAX(0,I275-K275))</f>
        <v/>
      </c>
      <c r="M275" s="19" t="n"/>
      <c r="N275" s="18" t="n"/>
      <c r="O275" s="18" t="n"/>
      <c r="P275" s="23" t="n"/>
      <c r="Q275" s="18" t="n"/>
      <c r="R275" s="18" t="n"/>
      <c r="S275" s="18" t="n"/>
      <c r="T275" s="24">
        <f>IF(E275="","",E275-TODAY())</f>
        <v/>
      </c>
      <c r="U275" s="24">
        <f>IF(OR(M275="Paid",M275="Cancelled",E275=""),"",IF(E275&lt;TODAY(),"OVERDUE",IF(E275&lt;=TODAY()+'Setup &amp; Lists'!$M$7,"DUE SOON","")))</f>
        <v/>
      </c>
    </row>
    <row r="276">
      <c r="A276" s="18" t="n"/>
      <c r="B276" s="19" t="n"/>
      <c r="C276" s="19" t="n"/>
      <c r="D276" s="19" t="n"/>
      <c r="E276" s="20" t="n"/>
      <c r="F276" s="19" t="n"/>
      <c r="G276" s="19" t="n"/>
      <c r="H276" s="19" t="n"/>
      <c r="I276" s="21" t="n"/>
      <c r="J276" s="19" t="n"/>
      <c r="K276" s="21" t="n"/>
      <c r="L276" s="22">
        <f>IF(I276="","",MAX(0,I276-K276))</f>
        <v/>
      </c>
      <c r="M276" s="19" t="n"/>
      <c r="N276" s="18" t="n"/>
      <c r="O276" s="18" t="n"/>
      <c r="P276" s="23" t="n"/>
      <c r="Q276" s="18" t="n"/>
      <c r="R276" s="18" t="n"/>
      <c r="S276" s="18" t="n"/>
      <c r="T276" s="24">
        <f>IF(E276="","",E276-TODAY())</f>
        <v/>
      </c>
      <c r="U276" s="24">
        <f>IF(OR(M276="Paid",M276="Cancelled",E276=""),"",IF(E276&lt;TODAY(),"OVERDUE",IF(E276&lt;=TODAY()+'Setup &amp; Lists'!$M$7,"DUE SOON","")))</f>
        <v/>
      </c>
    </row>
    <row r="277">
      <c r="A277" s="18" t="n"/>
      <c r="B277" s="19" t="n"/>
      <c r="C277" s="19" t="n"/>
      <c r="D277" s="19" t="n"/>
      <c r="E277" s="20" t="n"/>
      <c r="F277" s="19" t="n"/>
      <c r="G277" s="19" t="n"/>
      <c r="H277" s="19" t="n"/>
      <c r="I277" s="21" t="n"/>
      <c r="J277" s="19" t="n"/>
      <c r="K277" s="21" t="n"/>
      <c r="L277" s="22">
        <f>IF(I277="","",MAX(0,I277-K277))</f>
        <v/>
      </c>
      <c r="M277" s="19" t="n"/>
      <c r="N277" s="18" t="n"/>
      <c r="O277" s="18" t="n"/>
      <c r="P277" s="23" t="n"/>
      <c r="Q277" s="18" t="n"/>
      <c r="R277" s="18" t="n"/>
      <c r="S277" s="18" t="n"/>
      <c r="T277" s="24">
        <f>IF(E277="","",E277-TODAY())</f>
        <v/>
      </c>
      <c r="U277" s="24">
        <f>IF(OR(M277="Paid",M277="Cancelled",E277=""),"",IF(E277&lt;TODAY(),"OVERDUE",IF(E277&lt;=TODAY()+'Setup &amp; Lists'!$M$7,"DUE SOON","")))</f>
        <v/>
      </c>
    </row>
    <row r="278">
      <c r="A278" s="18" t="n"/>
      <c r="B278" s="19" t="n"/>
      <c r="C278" s="19" t="n"/>
      <c r="D278" s="19" t="n"/>
      <c r="E278" s="20" t="n"/>
      <c r="F278" s="19" t="n"/>
      <c r="G278" s="19" t="n"/>
      <c r="H278" s="19" t="n"/>
      <c r="I278" s="21" t="n"/>
      <c r="J278" s="19" t="n"/>
      <c r="K278" s="21" t="n"/>
      <c r="L278" s="22">
        <f>IF(I278="","",MAX(0,I278-K278))</f>
        <v/>
      </c>
      <c r="M278" s="19" t="n"/>
      <c r="N278" s="18" t="n"/>
      <c r="O278" s="18" t="n"/>
      <c r="P278" s="23" t="n"/>
      <c r="Q278" s="18" t="n"/>
      <c r="R278" s="18" t="n"/>
      <c r="S278" s="18" t="n"/>
      <c r="T278" s="24">
        <f>IF(E278="","",E278-TODAY())</f>
        <v/>
      </c>
      <c r="U278" s="24">
        <f>IF(OR(M278="Paid",M278="Cancelled",E278=""),"",IF(E278&lt;TODAY(),"OVERDUE",IF(E278&lt;=TODAY()+'Setup &amp; Lists'!$M$7,"DUE SOON","")))</f>
        <v/>
      </c>
    </row>
    <row r="279">
      <c r="A279" s="18" t="n"/>
      <c r="B279" s="19" t="n"/>
      <c r="C279" s="19" t="n"/>
      <c r="D279" s="19" t="n"/>
      <c r="E279" s="20" t="n"/>
      <c r="F279" s="19" t="n"/>
      <c r="G279" s="19" t="n"/>
      <c r="H279" s="19" t="n"/>
      <c r="I279" s="21" t="n"/>
      <c r="J279" s="19" t="n"/>
      <c r="K279" s="21" t="n"/>
      <c r="L279" s="22">
        <f>IF(I279="","",MAX(0,I279-K279))</f>
        <v/>
      </c>
      <c r="M279" s="19" t="n"/>
      <c r="N279" s="18" t="n"/>
      <c r="O279" s="18" t="n"/>
      <c r="P279" s="23" t="n"/>
      <c r="Q279" s="18" t="n"/>
      <c r="R279" s="18" t="n"/>
      <c r="S279" s="18" t="n"/>
      <c r="T279" s="24">
        <f>IF(E279="","",E279-TODAY())</f>
        <v/>
      </c>
      <c r="U279" s="24">
        <f>IF(OR(M279="Paid",M279="Cancelled",E279=""),"",IF(E279&lt;TODAY(),"OVERDUE",IF(E279&lt;=TODAY()+'Setup &amp; Lists'!$M$7,"DUE SOON","")))</f>
        <v/>
      </c>
    </row>
    <row r="280">
      <c r="A280" s="18" t="n"/>
      <c r="B280" s="19" t="n"/>
      <c r="C280" s="19" t="n"/>
      <c r="D280" s="19" t="n"/>
      <c r="E280" s="20" t="n"/>
      <c r="F280" s="19" t="n"/>
      <c r="G280" s="19" t="n"/>
      <c r="H280" s="19" t="n"/>
      <c r="I280" s="21" t="n"/>
      <c r="J280" s="19" t="n"/>
      <c r="K280" s="21" t="n"/>
      <c r="L280" s="22">
        <f>IF(I280="","",MAX(0,I280-K280))</f>
        <v/>
      </c>
      <c r="M280" s="19" t="n"/>
      <c r="N280" s="18" t="n"/>
      <c r="O280" s="18" t="n"/>
      <c r="P280" s="23" t="n"/>
      <c r="Q280" s="18" t="n"/>
      <c r="R280" s="18" t="n"/>
      <c r="S280" s="18" t="n"/>
      <c r="T280" s="24">
        <f>IF(E280="","",E280-TODAY())</f>
        <v/>
      </c>
      <c r="U280" s="24">
        <f>IF(OR(M280="Paid",M280="Cancelled",E280=""),"",IF(E280&lt;TODAY(),"OVERDUE",IF(E280&lt;=TODAY()+'Setup &amp; Lists'!$M$7,"DUE SOON","")))</f>
        <v/>
      </c>
    </row>
    <row r="281">
      <c r="A281" s="18" t="n"/>
      <c r="B281" s="19" t="n"/>
      <c r="C281" s="19" t="n"/>
      <c r="D281" s="19" t="n"/>
      <c r="E281" s="20" t="n"/>
      <c r="F281" s="19" t="n"/>
      <c r="G281" s="19" t="n"/>
      <c r="H281" s="19" t="n"/>
      <c r="I281" s="21" t="n"/>
      <c r="J281" s="19" t="n"/>
      <c r="K281" s="21" t="n"/>
      <c r="L281" s="22">
        <f>IF(I281="","",MAX(0,I281-K281))</f>
        <v/>
      </c>
      <c r="M281" s="19" t="n"/>
      <c r="N281" s="18" t="n"/>
      <c r="O281" s="18" t="n"/>
      <c r="P281" s="23" t="n"/>
      <c r="Q281" s="18" t="n"/>
      <c r="R281" s="18" t="n"/>
      <c r="S281" s="18" t="n"/>
      <c r="T281" s="24">
        <f>IF(E281="","",E281-TODAY())</f>
        <v/>
      </c>
      <c r="U281" s="24">
        <f>IF(OR(M281="Paid",M281="Cancelled",E281=""),"",IF(E281&lt;TODAY(),"OVERDUE",IF(E281&lt;=TODAY()+'Setup &amp; Lists'!$M$7,"DUE SOON","")))</f>
        <v/>
      </c>
    </row>
    <row r="282">
      <c r="A282" s="18" t="n"/>
      <c r="B282" s="19" t="n"/>
      <c r="C282" s="19" t="n"/>
      <c r="D282" s="19" t="n"/>
      <c r="E282" s="20" t="n"/>
      <c r="F282" s="19" t="n"/>
      <c r="G282" s="19" t="n"/>
      <c r="H282" s="19" t="n"/>
      <c r="I282" s="21" t="n"/>
      <c r="J282" s="19" t="n"/>
      <c r="K282" s="21" t="n"/>
      <c r="L282" s="22">
        <f>IF(I282="","",MAX(0,I282-K282))</f>
        <v/>
      </c>
      <c r="M282" s="19" t="n"/>
      <c r="N282" s="18" t="n"/>
      <c r="O282" s="18" t="n"/>
      <c r="P282" s="23" t="n"/>
      <c r="Q282" s="18" t="n"/>
      <c r="R282" s="18" t="n"/>
      <c r="S282" s="18" t="n"/>
      <c r="T282" s="24">
        <f>IF(E282="","",E282-TODAY())</f>
        <v/>
      </c>
      <c r="U282" s="24">
        <f>IF(OR(M282="Paid",M282="Cancelled",E282=""),"",IF(E282&lt;TODAY(),"OVERDUE",IF(E282&lt;=TODAY()+'Setup &amp; Lists'!$M$7,"DUE SOON","")))</f>
        <v/>
      </c>
    </row>
    <row r="283">
      <c r="A283" s="18" t="n"/>
      <c r="B283" s="19" t="n"/>
      <c r="C283" s="19" t="n"/>
      <c r="D283" s="19" t="n"/>
      <c r="E283" s="20" t="n"/>
      <c r="F283" s="19" t="n"/>
      <c r="G283" s="19" t="n"/>
      <c r="H283" s="19" t="n"/>
      <c r="I283" s="21" t="n"/>
      <c r="J283" s="19" t="n"/>
      <c r="K283" s="21" t="n"/>
      <c r="L283" s="22">
        <f>IF(I283="","",MAX(0,I283-K283))</f>
        <v/>
      </c>
      <c r="M283" s="19" t="n"/>
      <c r="N283" s="18" t="n"/>
      <c r="O283" s="18" t="n"/>
      <c r="P283" s="23" t="n"/>
      <c r="Q283" s="18" t="n"/>
      <c r="R283" s="18" t="n"/>
      <c r="S283" s="18" t="n"/>
      <c r="T283" s="24">
        <f>IF(E283="","",E283-TODAY())</f>
        <v/>
      </c>
      <c r="U283" s="24">
        <f>IF(OR(M283="Paid",M283="Cancelled",E283=""),"",IF(E283&lt;TODAY(),"OVERDUE",IF(E283&lt;=TODAY()+'Setup &amp; Lists'!$M$7,"DUE SOON","")))</f>
        <v/>
      </c>
    </row>
    <row r="284">
      <c r="A284" s="18" t="n"/>
      <c r="B284" s="19" t="n"/>
      <c r="C284" s="19" t="n"/>
      <c r="D284" s="19" t="n"/>
      <c r="E284" s="20" t="n"/>
      <c r="F284" s="19" t="n"/>
      <c r="G284" s="19" t="n"/>
      <c r="H284" s="19" t="n"/>
      <c r="I284" s="21" t="n"/>
      <c r="J284" s="19" t="n"/>
      <c r="K284" s="21" t="n"/>
      <c r="L284" s="22">
        <f>IF(I284="","",MAX(0,I284-K284))</f>
        <v/>
      </c>
      <c r="M284" s="19" t="n"/>
      <c r="N284" s="18" t="n"/>
      <c r="O284" s="18" t="n"/>
      <c r="P284" s="23" t="n"/>
      <c r="Q284" s="18" t="n"/>
      <c r="R284" s="18" t="n"/>
      <c r="S284" s="18" t="n"/>
      <c r="T284" s="24">
        <f>IF(E284="","",E284-TODAY())</f>
        <v/>
      </c>
      <c r="U284" s="24">
        <f>IF(OR(M284="Paid",M284="Cancelled",E284=""),"",IF(E284&lt;TODAY(),"OVERDUE",IF(E284&lt;=TODAY()+'Setup &amp; Lists'!$M$7,"DUE SOON","")))</f>
        <v/>
      </c>
    </row>
    <row r="285">
      <c r="A285" s="18" t="n"/>
      <c r="B285" s="19" t="n"/>
      <c r="C285" s="19" t="n"/>
      <c r="D285" s="19" t="n"/>
      <c r="E285" s="20" t="n"/>
      <c r="F285" s="19" t="n"/>
      <c r="G285" s="19" t="n"/>
      <c r="H285" s="19" t="n"/>
      <c r="I285" s="21" t="n"/>
      <c r="J285" s="19" t="n"/>
      <c r="K285" s="21" t="n"/>
      <c r="L285" s="22">
        <f>IF(I285="","",MAX(0,I285-K285))</f>
        <v/>
      </c>
      <c r="M285" s="19" t="n"/>
      <c r="N285" s="18" t="n"/>
      <c r="O285" s="18" t="n"/>
      <c r="P285" s="23" t="n"/>
      <c r="Q285" s="18" t="n"/>
      <c r="R285" s="18" t="n"/>
      <c r="S285" s="18" t="n"/>
      <c r="T285" s="24">
        <f>IF(E285="","",E285-TODAY())</f>
        <v/>
      </c>
      <c r="U285" s="24">
        <f>IF(OR(M285="Paid",M285="Cancelled",E285=""),"",IF(E285&lt;TODAY(),"OVERDUE",IF(E285&lt;=TODAY()+'Setup &amp; Lists'!$M$7,"DUE SOON","")))</f>
        <v/>
      </c>
    </row>
    <row r="286">
      <c r="A286" s="18" t="n"/>
      <c r="B286" s="19" t="n"/>
      <c r="C286" s="19" t="n"/>
      <c r="D286" s="19" t="n"/>
      <c r="E286" s="20" t="n"/>
      <c r="F286" s="19" t="n"/>
      <c r="G286" s="19" t="n"/>
      <c r="H286" s="19" t="n"/>
      <c r="I286" s="21" t="n"/>
      <c r="J286" s="19" t="n"/>
      <c r="K286" s="21" t="n"/>
      <c r="L286" s="22">
        <f>IF(I286="","",MAX(0,I286-K286))</f>
        <v/>
      </c>
      <c r="M286" s="19" t="n"/>
      <c r="N286" s="18" t="n"/>
      <c r="O286" s="18" t="n"/>
      <c r="P286" s="23" t="n"/>
      <c r="Q286" s="18" t="n"/>
      <c r="R286" s="18" t="n"/>
      <c r="S286" s="18" t="n"/>
      <c r="T286" s="24">
        <f>IF(E286="","",E286-TODAY())</f>
        <v/>
      </c>
      <c r="U286" s="24">
        <f>IF(OR(M286="Paid",M286="Cancelled",E286=""),"",IF(E286&lt;TODAY(),"OVERDUE",IF(E286&lt;=TODAY()+'Setup &amp; Lists'!$M$7,"DUE SOON","")))</f>
        <v/>
      </c>
    </row>
    <row r="287">
      <c r="A287" s="18" t="n"/>
      <c r="B287" s="19" t="n"/>
      <c r="C287" s="19" t="n"/>
      <c r="D287" s="19" t="n"/>
      <c r="E287" s="20" t="n"/>
      <c r="F287" s="19" t="n"/>
      <c r="G287" s="19" t="n"/>
      <c r="H287" s="19" t="n"/>
      <c r="I287" s="21" t="n"/>
      <c r="J287" s="19" t="n"/>
      <c r="K287" s="21" t="n"/>
      <c r="L287" s="22">
        <f>IF(I287="","",MAX(0,I287-K287))</f>
        <v/>
      </c>
      <c r="M287" s="19" t="n"/>
      <c r="N287" s="18" t="n"/>
      <c r="O287" s="18" t="n"/>
      <c r="P287" s="23" t="n"/>
      <c r="Q287" s="18" t="n"/>
      <c r="R287" s="18" t="n"/>
      <c r="S287" s="18" t="n"/>
      <c r="T287" s="24">
        <f>IF(E287="","",E287-TODAY())</f>
        <v/>
      </c>
      <c r="U287" s="24">
        <f>IF(OR(M287="Paid",M287="Cancelled",E287=""),"",IF(E287&lt;TODAY(),"OVERDUE",IF(E287&lt;=TODAY()+'Setup &amp; Lists'!$M$7,"DUE SOON","")))</f>
        <v/>
      </c>
    </row>
    <row r="288">
      <c r="A288" s="18" t="n"/>
      <c r="B288" s="19" t="n"/>
      <c r="C288" s="19" t="n"/>
      <c r="D288" s="19" t="n"/>
      <c r="E288" s="20" t="n"/>
      <c r="F288" s="19" t="n"/>
      <c r="G288" s="19" t="n"/>
      <c r="H288" s="19" t="n"/>
      <c r="I288" s="21" t="n"/>
      <c r="J288" s="19" t="n"/>
      <c r="K288" s="21" t="n"/>
      <c r="L288" s="22">
        <f>IF(I288="","",MAX(0,I288-K288))</f>
        <v/>
      </c>
      <c r="M288" s="19" t="n"/>
      <c r="N288" s="18" t="n"/>
      <c r="O288" s="18" t="n"/>
      <c r="P288" s="23" t="n"/>
      <c r="Q288" s="18" t="n"/>
      <c r="R288" s="18" t="n"/>
      <c r="S288" s="18" t="n"/>
      <c r="T288" s="24">
        <f>IF(E288="","",E288-TODAY())</f>
        <v/>
      </c>
      <c r="U288" s="24">
        <f>IF(OR(M288="Paid",M288="Cancelled",E288=""),"",IF(E288&lt;TODAY(),"OVERDUE",IF(E288&lt;=TODAY()+'Setup &amp; Lists'!$M$7,"DUE SOON","")))</f>
        <v/>
      </c>
    </row>
    <row r="289">
      <c r="A289" s="18" t="n"/>
      <c r="B289" s="19" t="n"/>
      <c r="C289" s="19" t="n"/>
      <c r="D289" s="19" t="n"/>
      <c r="E289" s="20" t="n"/>
      <c r="F289" s="19" t="n"/>
      <c r="G289" s="19" t="n"/>
      <c r="H289" s="19" t="n"/>
      <c r="I289" s="21" t="n"/>
      <c r="J289" s="19" t="n"/>
      <c r="K289" s="21" t="n"/>
      <c r="L289" s="22">
        <f>IF(I289="","",MAX(0,I289-K289))</f>
        <v/>
      </c>
      <c r="M289" s="19" t="n"/>
      <c r="N289" s="18" t="n"/>
      <c r="O289" s="18" t="n"/>
      <c r="P289" s="23" t="n"/>
      <c r="Q289" s="18" t="n"/>
      <c r="R289" s="18" t="n"/>
      <c r="S289" s="18" t="n"/>
      <c r="T289" s="24">
        <f>IF(E289="","",E289-TODAY())</f>
        <v/>
      </c>
      <c r="U289" s="24">
        <f>IF(OR(M289="Paid",M289="Cancelled",E289=""),"",IF(E289&lt;TODAY(),"OVERDUE",IF(E289&lt;=TODAY()+'Setup &amp; Lists'!$M$7,"DUE SOON","")))</f>
        <v/>
      </c>
    </row>
    <row r="290">
      <c r="A290" s="18" t="n"/>
      <c r="B290" s="19" t="n"/>
      <c r="C290" s="19" t="n"/>
      <c r="D290" s="19" t="n"/>
      <c r="E290" s="20" t="n"/>
      <c r="F290" s="19" t="n"/>
      <c r="G290" s="19" t="n"/>
      <c r="H290" s="19" t="n"/>
      <c r="I290" s="21" t="n"/>
      <c r="J290" s="19" t="n"/>
      <c r="K290" s="21" t="n"/>
      <c r="L290" s="22">
        <f>IF(I290="","",MAX(0,I290-K290))</f>
        <v/>
      </c>
      <c r="M290" s="19" t="n"/>
      <c r="N290" s="18" t="n"/>
      <c r="O290" s="18" t="n"/>
      <c r="P290" s="23" t="n"/>
      <c r="Q290" s="18" t="n"/>
      <c r="R290" s="18" t="n"/>
      <c r="S290" s="18" t="n"/>
      <c r="T290" s="24">
        <f>IF(E290="","",E290-TODAY())</f>
        <v/>
      </c>
      <c r="U290" s="24">
        <f>IF(OR(M290="Paid",M290="Cancelled",E290=""),"",IF(E290&lt;TODAY(),"OVERDUE",IF(E290&lt;=TODAY()+'Setup &amp; Lists'!$M$7,"DUE SOON","")))</f>
        <v/>
      </c>
    </row>
    <row r="291">
      <c r="A291" s="18" t="n"/>
      <c r="B291" s="19" t="n"/>
      <c r="C291" s="19" t="n"/>
      <c r="D291" s="19" t="n"/>
      <c r="E291" s="20" t="n"/>
      <c r="F291" s="19" t="n"/>
      <c r="G291" s="19" t="n"/>
      <c r="H291" s="19" t="n"/>
      <c r="I291" s="21" t="n"/>
      <c r="J291" s="19" t="n"/>
      <c r="K291" s="21" t="n"/>
      <c r="L291" s="22">
        <f>IF(I291="","",MAX(0,I291-K291))</f>
        <v/>
      </c>
      <c r="M291" s="19" t="n"/>
      <c r="N291" s="18" t="n"/>
      <c r="O291" s="18" t="n"/>
      <c r="P291" s="23" t="n"/>
      <c r="Q291" s="18" t="n"/>
      <c r="R291" s="18" t="n"/>
      <c r="S291" s="18" t="n"/>
      <c r="T291" s="24">
        <f>IF(E291="","",E291-TODAY())</f>
        <v/>
      </c>
      <c r="U291" s="24">
        <f>IF(OR(M291="Paid",M291="Cancelled",E291=""),"",IF(E291&lt;TODAY(),"OVERDUE",IF(E291&lt;=TODAY()+'Setup &amp; Lists'!$M$7,"DUE SOON","")))</f>
        <v/>
      </c>
    </row>
    <row r="292">
      <c r="A292" s="18" t="n"/>
      <c r="B292" s="19" t="n"/>
      <c r="C292" s="19" t="n"/>
      <c r="D292" s="19" t="n"/>
      <c r="E292" s="20" t="n"/>
      <c r="F292" s="19" t="n"/>
      <c r="G292" s="19" t="n"/>
      <c r="H292" s="19" t="n"/>
      <c r="I292" s="21" t="n"/>
      <c r="J292" s="19" t="n"/>
      <c r="K292" s="21" t="n"/>
      <c r="L292" s="22">
        <f>IF(I292="","",MAX(0,I292-K292))</f>
        <v/>
      </c>
      <c r="M292" s="19" t="n"/>
      <c r="N292" s="18" t="n"/>
      <c r="O292" s="18" t="n"/>
      <c r="P292" s="23" t="n"/>
      <c r="Q292" s="18" t="n"/>
      <c r="R292" s="18" t="n"/>
      <c r="S292" s="18" t="n"/>
      <c r="T292" s="24">
        <f>IF(E292="","",E292-TODAY())</f>
        <v/>
      </c>
      <c r="U292" s="24">
        <f>IF(OR(M292="Paid",M292="Cancelled",E292=""),"",IF(E292&lt;TODAY(),"OVERDUE",IF(E292&lt;=TODAY()+'Setup &amp; Lists'!$M$7,"DUE SOON","")))</f>
        <v/>
      </c>
    </row>
    <row r="293">
      <c r="A293" s="18" t="n"/>
      <c r="B293" s="19" t="n"/>
      <c r="C293" s="19" t="n"/>
      <c r="D293" s="19" t="n"/>
      <c r="E293" s="20" t="n"/>
      <c r="F293" s="19" t="n"/>
      <c r="G293" s="19" t="n"/>
      <c r="H293" s="19" t="n"/>
      <c r="I293" s="21" t="n"/>
      <c r="J293" s="19" t="n"/>
      <c r="K293" s="21" t="n"/>
      <c r="L293" s="22">
        <f>IF(I293="","",MAX(0,I293-K293))</f>
        <v/>
      </c>
      <c r="M293" s="19" t="n"/>
      <c r="N293" s="18" t="n"/>
      <c r="O293" s="18" t="n"/>
      <c r="P293" s="23" t="n"/>
      <c r="Q293" s="18" t="n"/>
      <c r="R293" s="18" t="n"/>
      <c r="S293" s="18" t="n"/>
      <c r="T293" s="24">
        <f>IF(E293="","",E293-TODAY())</f>
        <v/>
      </c>
      <c r="U293" s="24">
        <f>IF(OR(M293="Paid",M293="Cancelled",E293=""),"",IF(E293&lt;TODAY(),"OVERDUE",IF(E293&lt;=TODAY()+'Setup &amp; Lists'!$M$7,"DUE SOON","")))</f>
        <v/>
      </c>
    </row>
    <row r="294">
      <c r="A294" s="18" t="n"/>
      <c r="B294" s="19" t="n"/>
      <c r="C294" s="19" t="n"/>
      <c r="D294" s="19" t="n"/>
      <c r="E294" s="20" t="n"/>
      <c r="F294" s="19" t="n"/>
      <c r="G294" s="19" t="n"/>
      <c r="H294" s="19" t="n"/>
      <c r="I294" s="21" t="n"/>
      <c r="J294" s="19" t="n"/>
      <c r="K294" s="21" t="n"/>
      <c r="L294" s="22">
        <f>IF(I294="","",MAX(0,I294-K294))</f>
        <v/>
      </c>
      <c r="M294" s="19" t="n"/>
      <c r="N294" s="18" t="n"/>
      <c r="O294" s="18" t="n"/>
      <c r="P294" s="23" t="n"/>
      <c r="Q294" s="18" t="n"/>
      <c r="R294" s="18" t="n"/>
      <c r="S294" s="18" t="n"/>
      <c r="T294" s="24">
        <f>IF(E294="","",E294-TODAY())</f>
        <v/>
      </c>
      <c r="U294" s="24">
        <f>IF(OR(M294="Paid",M294="Cancelled",E294=""),"",IF(E294&lt;TODAY(),"OVERDUE",IF(E294&lt;=TODAY()+'Setup &amp; Lists'!$M$7,"DUE SOON","")))</f>
        <v/>
      </c>
    </row>
    <row r="295">
      <c r="A295" s="18" t="n"/>
      <c r="B295" s="19" t="n"/>
      <c r="C295" s="19" t="n"/>
      <c r="D295" s="19" t="n"/>
      <c r="E295" s="20" t="n"/>
      <c r="F295" s="19" t="n"/>
      <c r="G295" s="19" t="n"/>
      <c r="H295" s="19" t="n"/>
      <c r="I295" s="21" t="n"/>
      <c r="J295" s="19" t="n"/>
      <c r="K295" s="21" t="n"/>
      <c r="L295" s="22">
        <f>IF(I295="","",MAX(0,I295-K295))</f>
        <v/>
      </c>
      <c r="M295" s="19" t="n"/>
      <c r="N295" s="18" t="n"/>
      <c r="O295" s="18" t="n"/>
      <c r="P295" s="23" t="n"/>
      <c r="Q295" s="18" t="n"/>
      <c r="R295" s="18" t="n"/>
      <c r="S295" s="18" t="n"/>
      <c r="T295" s="24">
        <f>IF(E295="","",E295-TODAY())</f>
        <v/>
      </c>
      <c r="U295" s="24">
        <f>IF(OR(M295="Paid",M295="Cancelled",E295=""),"",IF(E295&lt;TODAY(),"OVERDUE",IF(E295&lt;=TODAY()+'Setup &amp; Lists'!$M$7,"DUE SOON","")))</f>
        <v/>
      </c>
    </row>
    <row r="296">
      <c r="A296" s="18" t="n"/>
      <c r="B296" s="19" t="n"/>
      <c r="C296" s="19" t="n"/>
      <c r="D296" s="19" t="n"/>
      <c r="E296" s="20" t="n"/>
      <c r="F296" s="19" t="n"/>
      <c r="G296" s="19" t="n"/>
      <c r="H296" s="19" t="n"/>
      <c r="I296" s="21" t="n"/>
      <c r="J296" s="19" t="n"/>
      <c r="K296" s="21" t="n"/>
      <c r="L296" s="22">
        <f>IF(I296="","",MAX(0,I296-K296))</f>
        <v/>
      </c>
      <c r="M296" s="19" t="n"/>
      <c r="N296" s="18" t="n"/>
      <c r="O296" s="18" t="n"/>
      <c r="P296" s="23" t="n"/>
      <c r="Q296" s="18" t="n"/>
      <c r="R296" s="18" t="n"/>
      <c r="S296" s="18" t="n"/>
      <c r="T296" s="24">
        <f>IF(E296="","",E296-TODAY())</f>
        <v/>
      </c>
      <c r="U296" s="24">
        <f>IF(OR(M296="Paid",M296="Cancelled",E296=""),"",IF(E296&lt;TODAY(),"OVERDUE",IF(E296&lt;=TODAY()+'Setup &amp; Lists'!$M$7,"DUE SOON","")))</f>
        <v/>
      </c>
    </row>
    <row r="297">
      <c r="A297" s="18" t="n"/>
      <c r="B297" s="19" t="n"/>
      <c r="C297" s="19" t="n"/>
      <c r="D297" s="19" t="n"/>
      <c r="E297" s="20" t="n"/>
      <c r="F297" s="19" t="n"/>
      <c r="G297" s="19" t="n"/>
      <c r="H297" s="19" t="n"/>
      <c r="I297" s="21" t="n"/>
      <c r="J297" s="19" t="n"/>
      <c r="K297" s="21" t="n"/>
      <c r="L297" s="22">
        <f>IF(I297="","",MAX(0,I297-K297))</f>
        <v/>
      </c>
      <c r="M297" s="19" t="n"/>
      <c r="N297" s="18" t="n"/>
      <c r="O297" s="18" t="n"/>
      <c r="P297" s="23" t="n"/>
      <c r="Q297" s="18" t="n"/>
      <c r="R297" s="18" t="n"/>
      <c r="S297" s="18" t="n"/>
      <c r="T297" s="24">
        <f>IF(E297="","",E297-TODAY())</f>
        <v/>
      </c>
      <c r="U297" s="24">
        <f>IF(OR(M297="Paid",M297="Cancelled",E297=""),"",IF(E297&lt;TODAY(),"OVERDUE",IF(E297&lt;=TODAY()+'Setup &amp; Lists'!$M$7,"DUE SOON","")))</f>
        <v/>
      </c>
    </row>
    <row r="298">
      <c r="A298" s="18" t="n"/>
      <c r="B298" s="19" t="n"/>
      <c r="C298" s="19" t="n"/>
      <c r="D298" s="19" t="n"/>
      <c r="E298" s="20" t="n"/>
      <c r="F298" s="19" t="n"/>
      <c r="G298" s="19" t="n"/>
      <c r="H298" s="19" t="n"/>
      <c r="I298" s="21" t="n"/>
      <c r="J298" s="19" t="n"/>
      <c r="K298" s="21" t="n"/>
      <c r="L298" s="22">
        <f>IF(I298="","",MAX(0,I298-K298))</f>
        <v/>
      </c>
      <c r="M298" s="19" t="n"/>
      <c r="N298" s="18" t="n"/>
      <c r="O298" s="18" t="n"/>
      <c r="P298" s="23" t="n"/>
      <c r="Q298" s="18" t="n"/>
      <c r="R298" s="18" t="n"/>
      <c r="S298" s="18" t="n"/>
      <c r="T298" s="24">
        <f>IF(E298="","",E298-TODAY())</f>
        <v/>
      </c>
      <c r="U298" s="24">
        <f>IF(OR(M298="Paid",M298="Cancelled",E298=""),"",IF(E298&lt;TODAY(),"OVERDUE",IF(E298&lt;=TODAY()+'Setup &amp; Lists'!$M$7,"DUE SOON","")))</f>
        <v/>
      </c>
    </row>
    <row r="299">
      <c r="A299" s="18" t="n"/>
      <c r="B299" s="19" t="n"/>
      <c r="C299" s="19" t="n"/>
      <c r="D299" s="19" t="n"/>
      <c r="E299" s="20" t="n"/>
      <c r="F299" s="19" t="n"/>
      <c r="G299" s="19" t="n"/>
      <c r="H299" s="19" t="n"/>
      <c r="I299" s="21" t="n"/>
      <c r="J299" s="19" t="n"/>
      <c r="K299" s="21" t="n"/>
      <c r="L299" s="22">
        <f>IF(I299="","",MAX(0,I299-K299))</f>
        <v/>
      </c>
      <c r="M299" s="19" t="n"/>
      <c r="N299" s="18" t="n"/>
      <c r="O299" s="18" t="n"/>
      <c r="P299" s="23" t="n"/>
      <c r="Q299" s="18" t="n"/>
      <c r="R299" s="18" t="n"/>
      <c r="S299" s="18" t="n"/>
      <c r="T299" s="24">
        <f>IF(E299="","",E299-TODAY())</f>
        <v/>
      </c>
      <c r="U299" s="24">
        <f>IF(OR(M299="Paid",M299="Cancelled",E299=""),"",IF(E299&lt;TODAY(),"OVERDUE",IF(E299&lt;=TODAY()+'Setup &amp; Lists'!$M$7,"DUE SOON","")))</f>
        <v/>
      </c>
    </row>
    <row r="300">
      <c r="A300" s="18" t="n"/>
      <c r="B300" s="19" t="n"/>
      <c r="C300" s="19" t="n"/>
      <c r="D300" s="19" t="n"/>
      <c r="E300" s="20" t="n"/>
      <c r="F300" s="19" t="n"/>
      <c r="G300" s="19" t="n"/>
      <c r="H300" s="19" t="n"/>
      <c r="I300" s="21" t="n"/>
      <c r="J300" s="19" t="n"/>
      <c r="K300" s="21" t="n"/>
      <c r="L300" s="22">
        <f>IF(I300="","",MAX(0,I300-K300))</f>
        <v/>
      </c>
      <c r="M300" s="19" t="n"/>
      <c r="N300" s="18" t="n"/>
      <c r="O300" s="18" t="n"/>
      <c r="P300" s="23" t="n"/>
      <c r="Q300" s="18" t="n"/>
      <c r="R300" s="18" t="n"/>
      <c r="S300" s="18" t="n"/>
      <c r="T300" s="24">
        <f>IF(E300="","",E300-TODAY())</f>
        <v/>
      </c>
      <c r="U300" s="24">
        <f>IF(OR(M300="Paid",M300="Cancelled",E300=""),"",IF(E300&lt;TODAY(),"OVERDUE",IF(E300&lt;=TODAY()+'Setup &amp; Lists'!$M$7,"DUE SOON","")))</f>
        <v/>
      </c>
    </row>
    <row r="301">
      <c r="A301" s="18" t="n"/>
      <c r="B301" s="19" t="n"/>
      <c r="C301" s="19" t="n"/>
      <c r="D301" s="19" t="n"/>
      <c r="E301" s="20" t="n"/>
      <c r="F301" s="19" t="n"/>
      <c r="G301" s="19" t="n"/>
      <c r="H301" s="19" t="n"/>
      <c r="I301" s="21" t="n"/>
      <c r="J301" s="19" t="n"/>
      <c r="K301" s="21" t="n"/>
      <c r="L301" s="22">
        <f>IF(I301="","",MAX(0,I301-K301))</f>
        <v/>
      </c>
      <c r="M301" s="19" t="n"/>
      <c r="N301" s="18" t="n"/>
      <c r="O301" s="18" t="n"/>
      <c r="P301" s="23" t="n"/>
      <c r="Q301" s="18" t="n"/>
      <c r="R301" s="18" t="n"/>
      <c r="S301" s="18" t="n"/>
      <c r="T301" s="24">
        <f>IF(E301="","",E301-TODAY())</f>
        <v/>
      </c>
      <c r="U301" s="24">
        <f>IF(OR(M301="Paid",M301="Cancelled",E301=""),"",IF(E301&lt;TODAY(),"OVERDUE",IF(E301&lt;=TODAY()+'Setup &amp; Lists'!$M$7,"DUE SOON","")))</f>
        <v/>
      </c>
    </row>
    <row r="302">
      <c r="A302" s="18" t="n"/>
      <c r="B302" s="19" t="n"/>
      <c r="C302" s="19" t="n"/>
      <c r="D302" s="19" t="n"/>
      <c r="E302" s="20" t="n"/>
      <c r="F302" s="19" t="n"/>
      <c r="G302" s="19" t="n"/>
      <c r="H302" s="19" t="n"/>
      <c r="I302" s="21" t="n"/>
      <c r="J302" s="19" t="n"/>
      <c r="K302" s="21" t="n"/>
      <c r="L302" s="22">
        <f>IF(I302="","",MAX(0,I302-K302))</f>
        <v/>
      </c>
      <c r="M302" s="19" t="n"/>
      <c r="N302" s="18" t="n"/>
      <c r="O302" s="18" t="n"/>
      <c r="P302" s="23" t="n"/>
      <c r="Q302" s="18" t="n"/>
      <c r="R302" s="18" t="n"/>
      <c r="S302" s="18" t="n"/>
      <c r="T302" s="24">
        <f>IF(E302="","",E302-TODAY())</f>
        <v/>
      </c>
      <c r="U302" s="24">
        <f>IF(OR(M302="Paid",M302="Cancelled",E302=""),"",IF(E302&lt;TODAY(),"OVERDUE",IF(E302&lt;=TODAY()+'Setup &amp; Lists'!$M$7,"DUE SOON","")))</f>
        <v/>
      </c>
    </row>
    <row r="303">
      <c r="A303" s="18" t="n"/>
      <c r="B303" s="19" t="n"/>
      <c r="C303" s="19" t="n"/>
      <c r="D303" s="19" t="n"/>
      <c r="E303" s="20" t="n"/>
      <c r="F303" s="19" t="n"/>
      <c r="G303" s="19" t="n"/>
      <c r="H303" s="19" t="n"/>
      <c r="I303" s="21" t="n"/>
      <c r="J303" s="19" t="n"/>
      <c r="K303" s="21" t="n"/>
      <c r="L303" s="22">
        <f>IF(I303="","",MAX(0,I303-K303))</f>
        <v/>
      </c>
      <c r="M303" s="19" t="n"/>
      <c r="N303" s="18" t="n"/>
      <c r="O303" s="18" t="n"/>
      <c r="P303" s="23" t="n"/>
      <c r="Q303" s="18" t="n"/>
      <c r="R303" s="18" t="n"/>
      <c r="S303" s="18" t="n"/>
      <c r="T303" s="24">
        <f>IF(E303="","",E303-TODAY())</f>
        <v/>
      </c>
      <c r="U303" s="24">
        <f>IF(OR(M303="Paid",M303="Cancelled",E303=""),"",IF(E303&lt;TODAY(),"OVERDUE",IF(E303&lt;=TODAY()+'Setup &amp; Lists'!$M$7,"DUE SOON","")))</f>
        <v/>
      </c>
    </row>
    <row r="304">
      <c r="A304" s="18" t="n"/>
      <c r="B304" s="19" t="n"/>
      <c r="C304" s="19" t="n"/>
      <c r="D304" s="19" t="n"/>
      <c r="E304" s="20" t="n"/>
      <c r="F304" s="19" t="n"/>
      <c r="G304" s="19" t="n"/>
      <c r="H304" s="19" t="n"/>
      <c r="I304" s="21" t="n"/>
      <c r="J304" s="19" t="n"/>
      <c r="K304" s="21" t="n"/>
      <c r="L304" s="22">
        <f>IF(I304="","",MAX(0,I304-K304))</f>
        <v/>
      </c>
      <c r="M304" s="19" t="n"/>
      <c r="N304" s="18" t="n"/>
      <c r="O304" s="18" t="n"/>
      <c r="P304" s="23" t="n"/>
      <c r="Q304" s="18" t="n"/>
      <c r="R304" s="18" t="n"/>
      <c r="S304" s="18" t="n"/>
      <c r="T304" s="24">
        <f>IF(E304="","",E304-TODAY())</f>
        <v/>
      </c>
      <c r="U304" s="24">
        <f>IF(OR(M304="Paid",M304="Cancelled",E304=""),"",IF(E304&lt;TODAY(),"OVERDUE",IF(E304&lt;=TODAY()+'Setup &amp; Lists'!$M$7,"DUE SOON","")))</f>
        <v/>
      </c>
    </row>
    <row r="305">
      <c r="A305" s="18" t="n"/>
      <c r="B305" s="19" t="n"/>
      <c r="C305" s="19" t="n"/>
      <c r="D305" s="19" t="n"/>
      <c r="E305" s="20" t="n"/>
      <c r="F305" s="19" t="n"/>
      <c r="G305" s="19" t="n"/>
      <c r="H305" s="19" t="n"/>
      <c r="I305" s="21" t="n"/>
      <c r="J305" s="19" t="n"/>
      <c r="K305" s="21" t="n"/>
      <c r="L305" s="22">
        <f>IF(I305="","",MAX(0,I305-K305))</f>
        <v/>
      </c>
      <c r="M305" s="19" t="n"/>
      <c r="N305" s="18" t="n"/>
      <c r="O305" s="18" t="n"/>
      <c r="P305" s="23" t="n"/>
      <c r="Q305" s="18" t="n"/>
      <c r="R305" s="18" t="n"/>
      <c r="S305" s="18" t="n"/>
      <c r="T305" s="24">
        <f>IF(E305="","",E305-TODAY())</f>
        <v/>
      </c>
      <c r="U305" s="24">
        <f>IF(OR(M305="Paid",M305="Cancelled",E305=""),"",IF(E305&lt;TODAY(),"OVERDUE",IF(E305&lt;=TODAY()+'Setup &amp; Lists'!$M$7,"DUE SOON","")))</f>
        <v/>
      </c>
    </row>
    <row r="306">
      <c r="A306" s="18" t="n"/>
      <c r="B306" s="19" t="n"/>
      <c r="C306" s="19" t="n"/>
      <c r="D306" s="19" t="n"/>
      <c r="E306" s="20" t="n"/>
      <c r="F306" s="19" t="n"/>
      <c r="G306" s="19" t="n"/>
      <c r="H306" s="19" t="n"/>
      <c r="I306" s="21" t="n"/>
      <c r="J306" s="19" t="n"/>
      <c r="K306" s="21" t="n"/>
      <c r="L306" s="22">
        <f>IF(I306="","",MAX(0,I306-K306))</f>
        <v/>
      </c>
      <c r="M306" s="19" t="n"/>
      <c r="N306" s="18" t="n"/>
      <c r="O306" s="18" t="n"/>
      <c r="P306" s="23" t="n"/>
      <c r="Q306" s="18" t="n"/>
      <c r="R306" s="18" t="n"/>
      <c r="S306" s="18" t="n"/>
      <c r="T306" s="24">
        <f>IF(E306="","",E306-TODAY())</f>
        <v/>
      </c>
      <c r="U306" s="24">
        <f>IF(OR(M306="Paid",M306="Cancelled",E306=""),"",IF(E306&lt;TODAY(),"OVERDUE",IF(E306&lt;=TODAY()+'Setup &amp; Lists'!$M$7,"DUE SOON","")))</f>
        <v/>
      </c>
    </row>
    <row r="307">
      <c r="A307" s="18" t="n"/>
      <c r="B307" s="19" t="n"/>
      <c r="C307" s="19" t="n"/>
      <c r="D307" s="19" t="n"/>
      <c r="E307" s="20" t="n"/>
      <c r="F307" s="19" t="n"/>
      <c r="G307" s="19" t="n"/>
      <c r="H307" s="19" t="n"/>
      <c r="I307" s="21" t="n"/>
      <c r="J307" s="19" t="n"/>
      <c r="K307" s="21" t="n"/>
      <c r="L307" s="22">
        <f>IF(I307="","",MAX(0,I307-K307))</f>
        <v/>
      </c>
      <c r="M307" s="19" t="n"/>
      <c r="N307" s="18" t="n"/>
      <c r="O307" s="18" t="n"/>
      <c r="P307" s="23" t="n"/>
      <c r="Q307" s="18" t="n"/>
      <c r="R307" s="18" t="n"/>
      <c r="S307" s="18" t="n"/>
      <c r="T307" s="24">
        <f>IF(E307="","",E307-TODAY())</f>
        <v/>
      </c>
      <c r="U307" s="24">
        <f>IF(OR(M307="Paid",M307="Cancelled",E307=""),"",IF(E307&lt;TODAY(),"OVERDUE",IF(E307&lt;=TODAY()+'Setup &amp; Lists'!$M$7,"DUE SOON","")))</f>
        <v/>
      </c>
    </row>
    <row r="308">
      <c r="A308" s="18" t="n"/>
      <c r="B308" s="19" t="n"/>
      <c r="C308" s="19" t="n"/>
      <c r="D308" s="19" t="n"/>
      <c r="E308" s="20" t="n"/>
      <c r="F308" s="19" t="n"/>
      <c r="G308" s="19" t="n"/>
      <c r="H308" s="19" t="n"/>
      <c r="I308" s="21" t="n"/>
      <c r="J308" s="19" t="n"/>
      <c r="K308" s="21" t="n"/>
      <c r="L308" s="22">
        <f>IF(I308="","",MAX(0,I308-K308))</f>
        <v/>
      </c>
      <c r="M308" s="19" t="n"/>
      <c r="N308" s="18" t="n"/>
      <c r="O308" s="18" t="n"/>
      <c r="P308" s="23" t="n"/>
      <c r="Q308" s="18" t="n"/>
      <c r="R308" s="18" t="n"/>
      <c r="S308" s="18" t="n"/>
      <c r="T308" s="24">
        <f>IF(E308="","",E308-TODAY())</f>
        <v/>
      </c>
      <c r="U308" s="24">
        <f>IF(OR(M308="Paid",M308="Cancelled",E308=""),"",IF(E308&lt;TODAY(),"OVERDUE",IF(E308&lt;=TODAY()+'Setup &amp; Lists'!$M$7,"DUE SOON","")))</f>
        <v/>
      </c>
    </row>
    <row r="309">
      <c r="A309" s="18" t="n"/>
      <c r="B309" s="19" t="n"/>
      <c r="C309" s="19" t="n"/>
      <c r="D309" s="19" t="n"/>
      <c r="E309" s="20" t="n"/>
      <c r="F309" s="19" t="n"/>
      <c r="G309" s="19" t="n"/>
      <c r="H309" s="19" t="n"/>
      <c r="I309" s="21" t="n"/>
      <c r="J309" s="19" t="n"/>
      <c r="K309" s="21" t="n"/>
      <c r="L309" s="22">
        <f>IF(I309="","",MAX(0,I309-K309))</f>
        <v/>
      </c>
      <c r="M309" s="19" t="n"/>
      <c r="N309" s="18" t="n"/>
      <c r="O309" s="18" t="n"/>
      <c r="P309" s="23" t="n"/>
      <c r="Q309" s="18" t="n"/>
      <c r="R309" s="18" t="n"/>
      <c r="S309" s="18" t="n"/>
      <c r="T309" s="24">
        <f>IF(E309="","",E309-TODAY())</f>
        <v/>
      </c>
      <c r="U309" s="24">
        <f>IF(OR(M309="Paid",M309="Cancelled",E309=""),"",IF(E309&lt;TODAY(),"OVERDUE",IF(E309&lt;=TODAY()+'Setup &amp; Lists'!$M$7,"DUE SOON","")))</f>
        <v/>
      </c>
    </row>
    <row r="310">
      <c r="A310" s="18" t="n"/>
      <c r="B310" s="19" t="n"/>
      <c r="C310" s="19" t="n"/>
      <c r="D310" s="19" t="n"/>
      <c r="E310" s="20" t="n"/>
      <c r="F310" s="19" t="n"/>
      <c r="G310" s="19" t="n"/>
      <c r="H310" s="19" t="n"/>
      <c r="I310" s="21" t="n"/>
      <c r="J310" s="19" t="n"/>
      <c r="K310" s="21" t="n"/>
      <c r="L310" s="22">
        <f>IF(I310="","",MAX(0,I310-K310))</f>
        <v/>
      </c>
      <c r="M310" s="19" t="n"/>
      <c r="N310" s="18" t="n"/>
      <c r="O310" s="18" t="n"/>
      <c r="P310" s="23" t="n"/>
      <c r="Q310" s="18" t="n"/>
      <c r="R310" s="18" t="n"/>
      <c r="S310" s="18" t="n"/>
      <c r="T310" s="24">
        <f>IF(E310="","",E310-TODAY())</f>
        <v/>
      </c>
      <c r="U310" s="24">
        <f>IF(OR(M310="Paid",M310="Cancelled",E310=""),"",IF(E310&lt;TODAY(),"OVERDUE",IF(E310&lt;=TODAY()+'Setup &amp; Lists'!$M$7,"DUE SOON","")))</f>
        <v/>
      </c>
    </row>
    <row r="311">
      <c r="A311" s="18" t="n"/>
      <c r="B311" s="19" t="n"/>
      <c r="C311" s="19" t="n"/>
      <c r="D311" s="19" t="n"/>
      <c r="E311" s="20" t="n"/>
      <c r="F311" s="19" t="n"/>
      <c r="G311" s="19" t="n"/>
      <c r="H311" s="19" t="n"/>
      <c r="I311" s="21" t="n"/>
      <c r="J311" s="19" t="n"/>
      <c r="K311" s="21" t="n"/>
      <c r="L311" s="22">
        <f>IF(I311="","",MAX(0,I311-K311))</f>
        <v/>
      </c>
      <c r="M311" s="19" t="n"/>
      <c r="N311" s="18" t="n"/>
      <c r="O311" s="18" t="n"/>
      <c r="P311" s="23" t="n"/>
      <c r="Q311" s="18" t="n"/>
      <c r="R311" s="18" t="n"/>
      <c r="S311" s="18" t="n"/>
      <c r="T311" s="24">
        <f>IF(E311="","",E311-TODAY())</f>
        <v/>
      </c>
      <c r="U311" s="24">
        <f>IF(OR(M311="Paid",M311="Cancelled",E311=""),"",IF(E311&lt;TODAY(),"OVERDUE",IF(E311&lt;=TODAY()+'Setup &amp; Lists'!$M$7,"DUE SOON","")))</f>
        <v/>
      </c>
    </row>
    <row r="312">
      <c r="A312" s="18" t="n"/>
      <c r="B312" s="19" t="n"/>
      <c r="C312" s="19" t="n"/>
      <c r="D312" s="19" t="n"/>
      <c r="E312" s="20" t="n"/>
      <c r="F312" s="19" t="n"/>
      <c r="G312" s="19" t="n"/>
      <c r="H312" s="19" t="n"/>
      <c r="I312" s="21" t="n"/>
      <c r="J312" s="19" t="n"/>
      <c r="K312" s="21" t="n"/>
      <c r="L312" s="22">
        <f>IF(I312="","",MAX(0,I312-K312))</f>
        <v/>
      </c>
      <c r="M312" s="19" t="n"/>
      <c r="N312" s="18" t="n"/>
      <c r="O312" s="18" t="n"/>
      <c r="P312" s="23" t="n"/>
      <c r="Q312" s="18" t="n"/>
      <c r="R312" s="18" t="n"/>
      <c r="S312" s="18" t="n"/>
      <c r="T312" s="24">
        <f>IF(E312="","",E312-TODAY())</f>
        <v/>
      </c>
      <c r="U312" s="24">
        <f>IF(OR(M312="Paid",M312="Cancelled",E312=""),"",IF(E312&lt;TODAY(),"OVERDUE",IF(E312&lt;=TODAY()+'Setup &amp; Lists'!$M$7,"DUE SOON","")))</f>
        <v/>
      </c>
    </row>
    <row r="313">
      <c r="A313" s="18" t="n"/>
      <c r="B313" s="19" t="n"/>
      <c r="C313" s="19" t="n"/>
      <c r="D313" s="19" t="n"/>
      <c r="E313" s="20" t="n"/>
      <c r="F313" s="19" t="n"/>
      <c r="G313" s="19" t="n"/>
      <c r="H313" s="19" t="n"/>
      <c r="I313" s="21" t="n"/>
      <c r="J313" s="19" t="n"/>
      <c r="K313" s="21" t="n"/>
      <c r="L313" s="22">
        <f>IF(I313="","",MAX(0,I313-K313))</f>
        <v/>
      </c>
      <c r="M313" s="19" t="n"/>
      <c r="N313" s="18" t="n"/>
      <c r="O313" s="18" t="n"/>
      <c r="P313" s="23" t="n"/>
      <c r="Q313" s="18" t="n"/>
      <c r="R313" s="18" t="n"/>
      <c r="S313" s="18" t="n"/>
      <c r="T313" s="24">
        <f>IF(E313="","",E313-TODAY())</f>
        <v/>
      </c>
      <c r="U313" s="24">
        <f>IF(OR(M313="Paid",M313="Cancelled",E313=""),"",IF(E313&lt;TODAY(),"OVERDUE",IF(E313&lt;=TODAY()+'Setup &amp; Lists'!$M$7,"DUE SOON","")))</f>
        <v/>
      </c>
    </row>
    <row r="314">
      <c r="A314" s="18" t="n"/>
      <c r="B314" s="19" t="n"/>
      <c r="C314" s="19" t="n"/>
      <c r="D314" s="19" t="n"/>
      <c r="E314" s="20" t="n"/>
      <c r="F314" s="19" t="n"/>
      <c r="G314" s="19" t="n"/>
      <c r="H314" s="19" t="n"/>
      <c r="I314" s="21" t="n"/>
      <c r="J314" s="19" t="n"/>
      <c r="K314" s="21" t="n"/>
      <c r="L314" s="22">
        <f>IF(I314="","",MAX(0,I314-K314))</f>
        <v/>
      </c>
      <c r="M314" s="19" t="n"/>
      <c r="N314" s="18" t="n"/>
      <c r="O314" s="18" t="n"/>
      <c r="P314" s="23" t="n"/>
      <c r="Q314" s="18" t="n"/>
      <c r="R314" s="18" t="n"/>
      <c r="S314" s="18" t="n"/>
      <c r="T314" s="24">
        <f>IF(E314="","",E314-TODAY())</f>
        <v/>
      </c>
      <c r="U314" s="24">
        <f>IF(OR(M314="Paid",M314="Cancelled",E314=""),"",IF(E314&lt;TODAY(),"OVERDUE",IF(E314&lt;=TODAY()+'Setup &amp; Lists'!$M$7,"DUE SOON","")))</f>
        <v/>
      </c>
    </row>
    <row r="315">
      <c r="A315" s="18" t="n"/>
      <c r="B315" s="19" t="n"/>
      <c r="C315" s="19" t="n"/>
      <c r="D315" s="19" t="n"/>
      <c r="E315" s="20" t="n"/>
      <c r="F315" s="19" t="n"/>
      <c r="G315" s="19" t="n"/>
      <c r="H315" s="19" t="n"/>
      <c r="I315" s="21" t="n"/>
      <c r="J315" s="19" t="n"/>
      <c r="K315" s="21" t="n"/>
      <c r="L315" s="22">
        <f>IF(I315="","",MAX(0,I315-K315))</f>
        <v/>
      </c>
      <c r="M315" s="19" t="n"/>
      <c r="N315" s="18" t="n"/>
      <c r="O315" s="18" t="n"/>
      <c r="P315" s="23" t="n"/>
      <c r="Q315" s="18" t="n"/>
      <c r="R315" s="18" t="n"/>
      <c r="S315" s="18" t="n"/>
      <c r="T315" s="24">
        <f>IF(E315="","",E315-TODAY())</f>
        <v/>
      </c>
      <c r="U315" s="24">
        <f>IF(OR(M315="Paid",M315="Cancelled",E315=""),"",IF(E315&lt;TODAY(),"OVERDUE",IF(E315&lt;=TODAY()+'Setup &amp; Lists'!$M$7,"DUE SOON","")))</f>
        <v/>
      </c>
    </row>
    <row r="316">
      <c r="A316" s="18" t="n"/>
      <c r="B316" s="19" t="n"/>
      <c r="C316" s="19" t="n"/>
      <c r="D316" s="19" t="n"/>
      <c r="E316" s="20" t="n"/>
      <c r="F316" s="19" t="n"/>
      <c r="G316" s="19" t="n"/>
      <c r="H316" s="19" t="n"/>
      <c r="I316" s="21" t="n"/>
      <c r="J316" s="19" t="n"/>
      <c r="K316" s="21" t="n"/>
      <c r="L316" s="22">
        <f>IF(I316="","",MAX(0,I316-K316))</f>
        <v/>
      </c>
      <c r="M316" s="19" t="n"/>
      <c r="N316" s="18" t="n"/>
      <c r="O316" s="18" t="n"/>
      <c r="P316" s="23" t="n"/>
      <c r="Q316" s="18" t="n"/>
      <c r="R316" s="18" t="n"/>
      <c r="S316" s="18" t="n"/>
      <c r="T316" s="24">
        <f>IF(E316="","",E316-TODAY())</f>
        <v/>
      </c>
      <c r="U316" s="24">
        <f>IF(OR(M316="Paid",M316="Cancelled",E316=""),"",IF(E316&lt;TODAY(),"OVERDUE",IF(E316&lt;=TODAY()+'Setup &amp; Lists'!$M$7,"DUE SOON","")))</f>
        <v/>
      </c>
    </row>
    <row r="317">
      <c r="A317" s="18" t="n"/>
      <c r="B317" s="19" t="n"/>
      <c r="C317" s="19" t="n"/>
      <c r="D317" s="19" t="n"/>
      <c r="E317" s="20" t="n"/>
      <c r="F317" s="19" t="n"/>
      <c r="G317" s="19" t="n"/>
      <c r="H317" s="19" t="n"/>
      <c r="I317" s="21" t="n"/>
      <c r="J317" s="19" t="n"/>
      <c r="K317" s="21" t="n"/>
      <c r="L317" s="22">
        <f>IF(I317="","",MAX(0,I317-K317))</f>
        <v/>
      </c>
      <c r="M317" s="19" t="n"/>
      <c r="N317" s="18" t="n"/>
      <c r="O317" s="18" t="n"/>
      <c r="P317" s="23" t="n"/>
      <c r="Q317" s="18" t="n"/>
      <c r="R317" s="18" t="n"/>
      <c r="S317" s="18" t="n"/>
      <c r="T317" s="24">
        <f>IF(E317="","",E317-TODAY())</f>
        <v/>
      </c>
      <c r="U317" s="24">
        <f>IF(OR(M317="Paid",M317="Cancelled",E317=""),"",IF(E317&lt;TODAY(),"OVERDUE",IF(E317&lt;=TODAY()+'Setup &amp; Lists'!$M$7,"DUE SOON","")))</f>
        <v/>
      </c>
    </row>
    <row r="318">
      <c r="A318" s="18" t="n"/>
      <c r="B318" s="19" t="n"/>
      <c r="C318" s="19" t="n"/>
      <c r="D318" s="19" t="n"/>
      <c r="E318" s="20" t="n"/>
      <c r="F318" s="19" t="n"/>
      <c r="G318" s="19" t="n"/>
      <c r="H318" s="19" t="n"/>
      <c r="I318" s="21" t="n"/>
      <c r="J318" s="19" t="n"/>
      <c r="K318" s="21" t="n"/>
      <c r="L318" s="22">
        <f>IF(I318="","",MAX(0,I318-K318))</f>
        <v/>
      </c>
      <c r="M318" s="19" t="n"/>
      <c r="N318" s="18" t="n"/>
      <c r="O318" s="18" t="n"/>
      <c r="P318" s="23" t="n"/>
      <c r="Q318" s="18" t="n"/>
      <c r="R318" s="18" t="n"/>
      <c r="S318" s="18" t="n"/>
      <c r="T318" s="24">
        <f>IF(E318="","",E318-TODAY())</f>
        <v/>
      </c>
      <c r="U318" s="24">
        <f>IF(OR(M318="Paid",M318="Cancelled",E318=""),"",IF(E318&lt;TODAY(),"OVERDUE",IF(E318&lt;=TODAY()+'Setup &amp; Lists'!$M$7,"DUE SOON","")))</f>
        <v/>
      </c>
    </row>
    <row r="319">
      <c r="A319" s="18" t="n"/>
      <c r="B319" s="19" t="n"/>
      <c r="C319" s="19" t="n"/>
      <c r="D319" s="19" t="n"/>
      <c r="E319" s="20" t="n"/>
      <c r="F319" s="19" t="n"/>
      <c r="G319" s="19" t="n"/>
      <c r="H319" s="19" t="n"/>
      <c r="I319" s="21" t="n"/>
      <c r="J319" s="19" t="n"/>
      <c r="K319" s="21" t="n"/>
      <c r="L319" s="22">
        <f>IF(I319="","",MAX(0,I319-K319))</f>
        <v/>
      </c>
      <c r="M319" s="19" t="n"/>
      <c r="N319" s="18" t="n"/>
      <c r="O319" s="18" t="n"/>
      <c r="P319" s="23" t="n"/>
      <c r="Q319" s="18" t="n"/>
      <c r="R319" s="18" t="n"/>
      <c r="S319" s="18" t="n"/>
      <c r="T319" s="24">
        <f>IF(E319="","",E319-TODAY())</f>
        <v/>
      </c>
      <c r="U319" s="24">
        <f>IF(OR(M319="Paid",M319="Cancelled",E319=""),"",IF(E319&lt;TODAY(),"OVERDUE",IF(E319&lt;=TODAY()+'Setup &amp; Lists'!$M$7,"DUE SOON","")))</f>
        <v/>
      </c>
    </row>
    <row r="320">
      <c r="A320" s="18" t="n"/>
      <c r="B320" s="19" t="n"/>
      <c r="C320" s="19" t="n"/>
      <c r="D320" s="19" t="n"/>
      <c r="E320" s="20" t="n"/>
      <c r="F320" s="19" t="n"/>
      <c r="G320" s="19" t="n"/>
      <c r="H320" s="19" t="n"/>
      <c r="I320" s="21" t="n"/>
      <c r="J320" s="19" t="n"/>
      <c r="K320" s="21" t="n"/>
      <c r="L320" s="22">
        <f>IF(I320="","",MAX(0,I320-K320))</f>
        <v/>
      </c>
      <c r="M320" s="19" t="n"/>
      <c r="N320" s="18" t="n"/>
      <c r="O320" s="18" t="n"/>
      <c r="P320" s="23" t="n"/>
      <c r="Q320" s="18" t="n"/>
      <c r="R320" s="18" t="n"/>
      <c r="S320" s="18" t="n"/>
      <c r="T320" s="24">
        <f>IF(E320="","",E320-TODAY())</f>
        <v/>
      </c>
      <c r="U320" s="24">
        <f>IF(OR(M320="Paid",M320="Cancelled",E320=""),"",IF(E320&lt;TODAY(),"OVERDUE",IF(E320&lt;=TODAY()+'Setup &amp; Lists'!$M$7,"DUE SOON","")))</f>
        <v/>
      </c>
    </row>
    <row r="321">
      <c r="A321" s="18" t="n"/>
      <c r="B321" s="19" t="n"/>
      <c r="C321" s="19" t="n"/>
      <c r="D321" s="19" t="n"/>
      <c r="E321" s="20" t="n"/>
      <c r="F321" s="19" t="n"/>
      <c r="G321" s="19" t="n"/>
      <c r="H321" s="19" t="n"/>
      <c r="I321" s="21" t="n"/>
      <c r="J321" s="19" t="n"/>
      <c r="K321" s="21" t="n"/>
      <c r="L321" s="22">
        <f>IF(I321="","",MAX(0,I321-K321))</f>
        <v/>
      </c>
      <c r="M321" s="19" t="n"/>
      <c r="N321" s="18" t="n"/>
      <c r="O321" s="18" t="n"/>
      <c r="P321" s="23" t="n"/>
      <c r="Q321" s="18" t="n"/>
      <c r="R321" s="18" t="n"/>
      <c r="S321" s="18" t="n"/>
      <c r="T321" s="24">
        <f>IF(E321="","",E321-TODAY())</f>
        <v/>
      </c>
      <c r="U321" s="24">
        <f>IF(OR(M321="Paid",M321="Cancelled",E321=""),"",IF(E321&lt;TODAY(),"OVERDUE",IF(E321&lt;=TODAY()+'Setup &amp; Lists'!$M$7,"DUE SOON","")))</f>
        <v/>
      </c>
    </row>
    <row r="322">
      <c r="A322" s="18" t="n"/>
      <c r="B322" s="19" t="n"/>
      <c r="C322" s="19" t="n"/>
      <c r="D322" s="19" t="n"/>
      <c r="E322" s="20" t="n"/>
      <c r="F322" s="19" t="n"/>
      <c r="G322" s="19" t="n"/>
      <c r="H322" s="19" t="n"/>
      <c r="I322" s="21" t="n"/>
      <c r="J322" s="19" t="n"/>
      <c r="K322" s="21" t="n"/>
      <c r="L322" s="22">
        <f>IF(I322="","",MAX(0,I322-K322))</f>
        <v/>
      </c>
      <c r="M322" s="19" t="n"/>
      <c r="N322" s="18" t="n"/>
      <c r="O322" s="18" t="n"/>
      <c r="P322" s="23" t="n"/>
      <c r="Q322" s="18" t="n"/>
      <c r="R322" s="18" t="n"/>
      <c r="S322" s="18" t="n"/>
      <c r="T322" s="24">
        <f>IF(E322="","",E322-TODAY())</f>
        <v/>
      </c>
      <c r="U322" s="24">
        <f>IF(OR(M322="Paid",M322="Cancelled",E322=""),"",IF(E322&lt;TODAY(),"OVERDUE",IF(E322&lt;=TODAY()+'Setup &amp; Lists'!$M$7,"DUE SOON","")))</f>
        <v/>
      </c>
    </row>
    <row r="323">
      <c r="A323" s="18" t="n"/>
      <c r="B323" s="19" t="n"/>
      <c r="C323" s="19" t="n"/>
      <c r="D323" s="19" t="n"/>
      <c r="E323" s="20" t="n"/>
      <c r="F323" s="19" t="n"/>
      <c r="G323" s="19" t="n"/>
      <c r="H323" s="19" t="n"/>
      <c r="I323" s="21" t="n"/>
      <c r="J323" s="19" t="n"/>
      <c r="K323" s="21" t="n"/>
      <c r="L323" s="22">
        <f>IF(I323="","",MAX(0,I323-K323))</f>
        <v/>
      </c>
      <c r="M323" s="19" t="n"/>
      <c r="N323" s="18" t="n"/>
      <c r="O323" s="18" t="n"/>
      <c r="P323" s="23" t="n"/>
      <c r="Q323" s="18" t="n"/>
      <c r="R323" s="18" t="n"/>
      <c r="S323" s="18" t="n"/>
      <c r="T323" s="24">
        <f>IF(E323="","",E323-TODAY())</f>
        <v/>
      </c>
      <c r="U323" s="24">
        <f>IF(OR(M323="Paid",M323="Cancelled",E323=""),"",IF(E323&lt;TODAY(),"OVERDUE",IF(E323&lt;=TODAY()+'Setup &amp; Lists'!$M$7,"DUE SOON","")))</f>
        <v/>
      </c>
    </row>
    <row r="324">
      <c r="A324" s="18" t="n"/>
      <c r="B324" s="19" t="n"/>
      <c r="C324" s="19" t="n"/>
      <c r="D324" s="19" t="n"/>
      <c r="E324" s="20" t="n"/>
      <c r="F324" s="19" t="n"/>
      <c r="G324" s="19" t="n"/>
      <c r="H324" s="19" t="n"/>
      <c r="I324" s="21" t="n"/>
      <c r="J324" s="19" t="n"/>
      <c r="K324" s="21" t="n"/>
      <c r="L324" s="22">
        <f>IF(I324="","",MAX(0,I324-K324))</f>
        <v/>
      </c>
      <c r="M324" s="19" t="n"/>
      <c r="N324" s="18" t="n"/>
      <c r="O324" s="18" t="n"/>
      <c r="P324" s="23" t="n"/>
      <c r="Q324" s="18" t="n"/>
      <c r="R324" s="18" t="n"/>
      <c r="S324" s="18" t="n"/>
      <c r="T324" s="24">
        <f>IF(E324="","",E324-TODAY())</f>
        <v/>
      </c>
      <c r="U324" s="24">
        <f>IF(OR(M324="Paid",M324="Cancelled",E324=""),"",IF(E324&lt;TODAY(),"OVERDUE",IF(E324&lt;=TODAY()+'Setup &amp; Lists'!$M$7,"DUE SOON","")))</f>
        <v/>
      </c>
    </row>
    <row r="325">
      <c r="A325" s="18" t="n"/>
      <c r="B325" s="19" t="n"/>
      <c r="C325" s="19" t="n"/>
      <c r="D325" s="19" t="n"/>
      <c r="E325" s="20" t="n"/>
      <c r="F325" s="19" t="n"/>
      <c r="G325" s="19" t="n"/>
      <c r="H325" s="19" t="n"/>
      <c r="I325" s="21" t="n"/>
      <c r="J325" s="19" t="n"/>
      <c r="K325" s="21" t="n"/>
      <c r="L325" s="22">
        <f>IF(I325="","",MAX(0,I325-K325))</f>
        <v/>
      </c>
      <c r="M325" s="19" t="n"/>
      <c r="N325" s="18" t="n"/>
      <c r="O325" s="18" t="n"/>
      <c r="P325" s="23" t="n"/>
      <c r="Q325" s="18" t="n"/>
      <c r="R325" s="18" t="n"/>
      <c r="S325" s="18" t="n"/>
      <c r="T325" s="24">
        <f>IF(E325="","",E325-TODAY())</f>
        <v/>
      </c>
      <c r="U325" s="24">
        <f>IF(OR(M325="Paid",M325="Cancelled",E325=""),"",IF(E325&lt;TODAY(),"OVERDUE",IF(E325&lt;=TODAY()+'Setup &amp; Lists'!$M$7,"DUE SOON","")))</f>
        <v/>
      </c>
    </row>
    <row r="326">
      <c r="A326" s="18" t="n"/>
      <c r="B326" s="19" t="n"/>
      <c r="C326" s="19" t="n"/>
      <c r="D326" s="19" t="n"/>
      <c r="E326" s="20" t="n"/>
      <c r="F326" s="19" t="n"/>
      <c r="G326" s="19" t="n"/>
      <c r="H326" s="19" t="n"/>
      <c r="I326" s="21" t="n"/>
      <c r="J326" s="19" t="n"/>
      <c r="K326" s="21" t="n"/>
      <c r="L326" s="22">
        <f>IF(I326="","",MAX(0,I326-K326))</f>
        <v/>
      </c>
      <c r="M326" s="19" t="n"/>
      <c r="N326" s="18" t="n"/>
      <c r="O326" s="18" t="n"/>
      <c r="P326" s="23" t="n"/>
      <c r="Q326" s="18" t="n"/>
      <c r="R326" s="18" t="n"/>
      <c r="S326" s="18" t="n"/>
      <c r="T326" s="24">
        <f>IF(E326="","",E326-TODAY())</f>
        <v/>
      </c>
      <c r="U326" s="24">
        <f>IF(OR(M326="Paid",M326="Cancelled",E326=""),"",IF(E326&lt;TODAY(),"OVERDUE",IF(E326&lt;=TODAY()+'Setup &amp; Lists'!$M$7,"DUE SOON","")))</f>
        <v/>
      </c>
    </row>
    <row r="327">
      <c r="A327" s="18" t="n"/>
      <c r="B327" s="19" t="n"/>
      <c r="C327" s="19" t="n"/>
      <c r="D327" s="19" t="n"/>
      <c r="E327" s="20" t="n"/>
      <c r="F327" s="19" t="n"/>
      <c r="G327" s="19" t="n"/>
      <c r="H327" s="19" t="n"/>
      <c r="I327" s="21" t="n"/>
      <c r="J327" s="19" t="n"/>
      <c r="K327" s="21" t="n"/>
      <c r="L327" s="22">
        <f>IF(I327="","",MAX(0,I327-K327))</f>
        <v/>
      </c>
      <c r="M327" s="19" t="n"/>
      <c r="N327" s="18" t="n"/>
      <c r="O327" s="18" t="n"/>
      <c r="P327" s="23" t="n"/>
      <c r="Q327" s="18" t="n"/>
      <c r="R327" s="18" t="n"/>
      <c r="S327" s="18" t="n"/>
      <c r="T327" s="24">
        <f>IF(E327="","",E327-TODAY())</f>
        <v/>
      </c>
      <c r="U327" s="24">
        <f>IF(OR(M327="Paid",M327="Cancelled",E327=""),"",IF(E327&lt;TODAY(),"OVERDUE",IF(E327&lt;=TODAY()+'Setup &amp; Lists'!$M$7,"DUE SOON","")))</f>
        <v/>
      </c>
    </row>
    <row r="328">
      <c r="A328" s="18" t="n"/>
      <c r="B328" s="19" t="n"/>
      <c r="C328" s="19" t="n"/>
      <c r="D328" s="19" t="n"/>
      <c r="E328" s="20" t="n"/>
      <c r="F328" s="19" t="n"/>
      <c r="G328" s="19" t="n"/>
      <c r="H328" s="19" t="n"/>
      <c r="I328" s="21" t="n"/>
      <c r="J328" s="19" t="n"/>
      <c r="K328" s="21" t="n"/>
      <c r="L328" s="22">
        <f>IF(I328="","",MAX(0,I328-K328))</f>
        <v/>
      </c>
      <c r="M328" s="19" t="n"/>
      <c r="N328" s="18" t="n"/>
      <c r="O328" s="18" t="n"/>
      <c r="P328" s="23" t="n"/>
      <c r="Q328" s="18" t="n"/>
      <c r="R328" s="18" t="n"/>
      <c r="S328" s="18" t="n"/>
      <c r="T328" s="24">
        <f>IF(E328="","",E328-TODAY())</f>
        <v/>
      </c>
      <c r="U328" s="24">
        <f>IF(OR(M328="Paid",M328="Cancelled",E328=""),"",IF(E328&lt;TODAY(),"OVERDUE",IF(E328&lt;=TODAY()+'Setup &amp; Lists'!$M$7,"DUE SOON","")))</f>
        <v/>
      </c>
    </row>
    <row r="329">
      <c r="A329" s="18" t="n"/>
      <c r="B329" s="19" t="n"/>
      <c r="C329" s="19" t="n"/>
      <c r="D329" s="19" t="n"/>
      <c r="E329" s="20" t="n"/>
      <c r="F329" s="19" t="n"/>
      <c r="G329" s="19" t="n"/>
      <c r="H329" s="19" t="n"/>
      <c r="I329" s="21" t="n"/>
      <c r="J329" s="19" t="n"/>
      <c r="K329" s="21" t="n"/>
      <c r="L329" s="22">
        <f>IF(I329="","",MAX(0,I329-K329))</f>
        <v/>
      </c>
      <c r="M329" s="19" t="n"/>
      <c r="N329" s="18" t="n"/>
      <c r="O329" s="18" t="n"/>
      <c r="P329" s="23" t="n"/>
      <c r="Q329" s="18" t="n"/>
      <c r="R329" s="18" t="n"/>
      <c r="S329" s="18" t="n"/>
      <c r="T329" s="24">
        <f>IF(E329="","",E329-TODAY())</f>
        <v/>
      </c>
      <c r="U329" s="24">
        <f>IF(OR(M329="Paid",M329="Cancelled",E329=""),"",IF(E329&lt;TODAY(),"OVERDUE",IF(E329&lt;=TODAY()+'Setup &amp; Lists'!$M$7,"DUE SOON","")))</f>
        <v/>
      </c>
    </row>
    <row r="330">
      <c r="A330" s="18" t="n"/>
      <c r="B330" s="19" t="n"/>
      <c r="C330" s="19" t="n"/>
      <c r="D330" s="19" t="n"/>
      <c r="E330" s="20" t="n"/>
      <c r="F330" s="19" t="n"/>
      <c r="G330" s="19" t="n"/>
      <c r="H330" s="19" t="n"/>
      <c r="I330" s="21" t="n"/>
      <c r="J330" s="19" t="n"/>
      <c r="K330" s="21" t="n"/>
      <c r="L330" s="22">
        <f>IF(I330="","",MAX(0,I330-K330))</f>
        <v/>
      </c>
      <c r="M330" s="19" t="n"/>
      <c r="N330" s="18" t="n"/>
      <c r="O330" s="18" t="n"/>
      <c r="P330" s="23" t="n"/>
      <c r="Q330" s="18" t="n"/>
      <c r="R330" s="18" t="n"/>
      <c r="S330" s="18" t="n"/>
      <c r="T330" s="24">
        <f>IF(E330="","",E330-TODAY())</f>
        <v/>
      </c>
      <c r="U330" s="24">
        <f>IF(OR(M330="Paid",M330="Cancelled",E330=""),"",IF(E330&lt;TODAY(),"OVERDUE",IF(E330&lt;=TODAY()+'Setup &amp; Lists'!$M$7,"DUE SOON","")))</f>
        <v/>
      </c>
    </row>
    <row r="331">
      <c r="A331" s="18" t="n"/>
      <c r="B331" s="19" t="n"/>
      <c r="C331" s="19" t="n"/>
      <c r="D331" s="19" t="n"/>
      <c r="E331" s="20" t="n"/>
      <c r="F331" s="19" t="n"/>
      <c r="G331" s="19" t="n"/>
      <c r="H331" s="19" t="n"/>
      <c r="I331" s="21" t="n"/>
      <c r="J331" s="19" t="n"/>
      <c r="K331" s="21" t="n"/>
      <c r="L331" s="22">
        <f>IF(I331="","",MAX(0,I331-K331))</f>
        <v/>
      </c>
      <c r="M331" s="19" t="n"/>
      <c r="N331" s="18" t="n"/>
      <c r="O331" s="18" t="n"/>
      <c r="P331" s="23" t="n"/>
      <c r="Q331" s="18" t="n"/>
      <c r="R331" s="18" t="n"/>
      <c r="S331" s="18" t="n"/>
      <c r="T331" s="24">
        <f>IF(E331="","",E331-TODAY())</f>
        <v/>
      </c>
      <c r="U331" s="24">
        <f>IF(OR(M331="Paid",M331="Cancelled",E331=""),"",IF(E331&lt;TODAY(),"OVERDUE",IF(E331&lt;=TODAY()+'Setup &amp; Lists'!$M$7,"DUE SOON","")))</f>
        <v/>
      </c>
    </row>
    <row r="332">
      <c r="A332" s="18" t="n"/>
      <c r="B332" s="19" t="n"/>
      <c r="C332" s="19" t="n"/>
      <c r="D332" s="19" t="n"/>
      <c r="E332" s="20" t="n"/>
      <c r="F332" s="19" t="n"/>
      <c r="G332" s="19" t="n"/>
      <c r="H332" s="19" t="n"/>
      <c r="I332" s="21" t="n"/>
      <c r="J332" s="19" t="n"/>
      <c r="K332" s="21" t="n"/>
      <c r="L332" s="22">
        <f>IF(I332="","",MAX(0,I332-K332))</f>
        <v/>
      </c>
      <c r="M332" s="19" t="n"/>
      <c r="N332" s="18" t="n"/>
      <c r="O332" s="18" t="n"/>
      <c r="P332" s="23" t="n"/>
      <c r="Q332" s="18" t="n"/>
      <c r="R332" s="18" t="n"/>
      <c r="S332" s="18" t="n"/>
      <c r="T332" s="24">
        <f>IF(E332="","",E332-TODAY())</f>
        <v/>
      </c>
      <c r="U332" s="24">
        <f>IF(OR(M332="Paid",M332="Cancelled",E332=""),"",IF(E332&lt;TODAY(),"OVERDUE",IF(E332&lt;=TODAY()+'Setup &amp; Lists'!$M$7,"DUE SOON","")))</f>
        <v/>
      </c>
    </row>
    <row r="333">
      <c r="A333" s="18" t="n"/>
      <c r="B333" s="19" t="n"/>
      <c r="C333" s="19" t="n"/>
      <c r="D333" s="19" t="n"/>
      <c r="E333" s="20" t="n"/>
      <c r="F333" s="19" t="n"/>
      <c r="G333" s="19" t="n"/>
      <c r="H333" s="19" t="n"/>
      <c r="I333" s="21" t="n"/>
      <c r="J333" s="19" t="n"/>
      <c r="K333" s="21" t="n"/>
      <c r="L333" s="22">
        <f>IF(I333="","",MAX(0,I333-K333))</f>
        <v/>
      </c>
      <c r="M333" s="19" t="n"/>
      <c r="N333" s="18" t="n"/>
      <c r="O333" s="18" t="n"/>
      <c r="P333" s="23" t="n"/>
      <c r="Q333" s="18" t="n"/>
      <c r="R333" s="18" t="n"/>
      <c r="S333" s="18" t="n"/>
      <c r="T333" s="24">
        <f>IF(E333="","",E333-TODAY())</f>
        <v/>
      </c>
      <c r="U333" s="24">
        <f>IF(OR(M333="Paid",M333="Cancelled",E333=""),"",IF(E333&lt;TODAY(),"OVERDUE",IF(E333&lt;=TODAY()+'Setup &amp; Lists'!$M$7,"DUE SOON","")))</f>
        <v/>
      </c>
    </row>
    <row r="334">
      <c r="A334" s="18" t="n"/>
      <c r="B334" s="19" t="n"/>
      <c r="C334" s="19" t="n"/>
      <c r="D334" s="19" t="n"/>
      <c r="E334" s="20" t="n"/>
      <c r="F334" s="19" t="n"/>
      <c r="G334" s="19" t="n"/>
      <c r="H334" s="19" t="n"/>
      <c r="I334" s="21" t="n"/>
      <c r="J334" s="19" t="n"/>
      <c r="K334" s="21" t="n"/>
      <c r="L334" s="22">
        <f>IF(I334="","",MAX(0,I334-K334))</f>
        <v/>
      </c>
      <c r="M334" s="19" t="n"/>
      <c r="N334" s="18" t="n"/>
      <c r="O334" s="18" t="n"/>
      <c r="P334" s="23" t="n"/>
      <c r="Q334" s="18" t="n"/>
      <c r="R334" s="18" t="n"/>
      <c r="S334" s="18" t="n"/>
      <c r="T334" s="24">
        <f>IF(E334="","",E334-TODAY())</f>
        <v/>
      </c>
      <c r="U334" s="24">
        <f>IF(OR(M334="Paid",M334="Cancelled",E334=""),"",IF(E334&lt;TODAY(),"OVERDUE",IF(E334&lt;=TODAY()+'Setup &amp; Lists'!$M$7,"DUE SOON","")))</f>
        <v/>
      </c>
    </row>
    <row r="335">
      <c r="A335" s="18" t="n"/>
      <c r="B335" s="19" t="n"/>
      <c r="C335" s="19" t="n"/>
      <c r="D335" s="19" t="n"/>
      <c r="E335" s="20" t="n"/>
      <c r="F335" s="19" t="n"/>
      <c r="G335" s="19" t="n"/>
      <c r="H335" s="19" t="n"/>
      <c r="I335" s="21" t="n"/>
      <c r="J335" s="19" t="n"/>
      <c r="K335" s="21" t="n"/>
      <c r="L335" s="22">
        <f>IF(I335="","",MAX(0,I335-K335))</f>
        <v/>
      </c>
      <c r="M335" s="19" t="n"/>
      <c r="N335" s="18" t="n"/>
      <c r="O335" s="18" t="n"/>
      <c r="P335" s="23" t="n"/>
      <c r="Q335" s="18" t="n"/>
      <c r="R335" s="18" t="n"/>
      <c r="S335" s="18" t="n"/>
      <c r="T335" s="24">
        <f>IF(E335="","",E335-TODAY())</f>
        <v/>
      </c>
      <c r="U335" s="24">
        <f>IF(OR(M335="Paid",M335="Cancelled",E335=""),"",IF(E335&lt;TODAY(),"OVERDUE",IF(E335&lt;=TODAY()+'Setup &amp; Lists'!$M$7,"DUE SOON","")))</f>
        <v/>
      </c>
    </row>
    <row r="336">
      <c r="A336" s="18" t="n"/>
      <c r="B336" s="19" t="n"/>
      <c r="C336" s="19" t="n"/>
      <c r="D336" s="19" t="n"/>
      <c r="E336" s="20" t="n"/>
      <c r="F336" s="19" t="n"/>
      <c r="G336" s="19" t="n"/>
      <c r="H336" s="19" t="n"/>
      <c r="I336" s="21" t="n"/>
      <c r="J336" s="19" t="n"/>
      <c r="K336" s="21" t="n"/>
      <c r="L336" s="22">
        <f>IF(I336="","",MAX(0,I336-K336))</f>
        <v/>
      </c>
      <c r="M336" s="19" t="n"/>
      <c r="N336" s="18" t="n"/>
      <c r="O336" s="18" t="n"/>
      <c r="P336" s="23" t="n"/>
      <c r="Q336" s="18" t="n"/>
      <c r="R336" s="18" t="n"/>
      <c r="S336" s="18" t="n"/>
      <c r="T336" s="24">
        <f>IF(E336="","",E336-TODAY())</f>
        <v/>
      </c>
      <c r="U336" s="24">
        <f>IF(OR(M336="Paid",M336="Cancelled",E336=""),"",IF(E336&lt;TODAY(),"OVERDUE",IF(E336&lt;=TODAY()+'Setup &amp; Lists'!$M$7,"DUE SOON","")))</f>
        <v/>
      </c>
    </row>
    <row r="337">
      <c r="A337" s="18" t="n"/>
      <c r="B337" s="19" t="n"/>
      <c r="C337" s="19" t="n"/>
      <c r="D337" s="19" t="n"/>
      <c r="E337" s="20" t="n"/>
      <c r="F337" s="19" t="n"/>
      <c r="G337" s="19" t="n"/>
      <c r="H337" s="19" t="n"/>
      <c r="I337" s="21" t="n"/>
      <c r="J337" s="19" t="n"/>
      <c r="K337" s="21" t="n"/>
      <c r="L337" s="22">
        <f>IF(I337="","",MAX(0,I337-K337))</f>
        <v/>
      </c>
      <c r="M337" s="19" t="n"/>
      <c r="N337" s="18" t="n"/>
      <c r="O337" s="18" t="n"/>
      <c r="P337" s="23" t="n"/>
      <c r="Q337" s="18" t="n"/>
      <c r="R337" s="18" t="n"/>
      <c r="S337" s="18" t="n"/>
      <c r="T337" s="24">
        <f>IF(E337="","",E337-TODAY())</f>
        <v/>
      </c>
      <c r="U337" s="24">
        <f>IF(OR(M337="Paid",M337="Cancelled",E337=""),"",IF(E337&lt;TODAY(),"OVERDUE",IF(E337&lt;=TODAY()+'Setup &amp; Lists'!$M$7,"DUE SOON","")))</f>
        <v/>
      </c>
    </row>
    <row r="338">
      <c r="A338" s="18" t="n"/>
      <c r="B338" s="19" t="n"/>
      <c r="C338" s="19" t="n"/>
      <c r="D338" s="19" t="n"/>
      <c r="E338" s="20" t="n"/>
      <c r="F338" s="19" t="n"/>
      <c r="G338" s="19" t="n"/>
      <c r="H338" s="19" t="n"/>
      <c r="I338" s="21" t="n"/>
      <c r="J338" s="19" t="n"/>
      <c r="K338" s="21" t="n"/>
      <c r="L338" s="22">
        <f>IF(I338="","",MAX(0,I338-K338))</f>
        <v/>
      </c>
      <c r="M338" s="19" t="n"/>
      <c r="N338" s="18" t="n"/>
      <c r="O338" s="18" t="n"/>
      <c r="P338" s="23" t="n"/>
      <c r="Q338" s="18" t="n"/>
      <c r="R338" s="18" t="n"/>
      <c r="S338" s="18" t="n"/>
      <c r="T338" s="24">
        <f>IF(E338="","",E338-TODAY())</f>
        <v/>
      </c>
      <c r="U338" s="24">
        <f>IF(OR(M338="Paid",M338="Cancelled",E338=""),"",IF(E338&lt;TODAY(),"OVERDUE",IF(E338&lt;=TODAY()+'Setup &amp; Lists'!$M$7,"DUE SOON","")))</f>
        <v/>
      </c>
    </row>
    <row r="339">
      <c r="A339" s="18" t="n"/>
      <c r="B339" s="19" t="n"/>
      <c r="C339" s="19" t="n"/>
      <c r="D339" s="19" t="n"/>
      <c r="E339" s="20" t="n"/>
      <c r="F339" s="19" t="n"/>
      <c r="G339" s="19" t="n"/>
      <c r="H339" s="19" t="n"/>
      <c r="I339" s="21" t="n"/>
      <c r="J339" s="19" t="n"/>
      <c r="K339" s="21" t="n"/>
      <c r="L339" s="22">
        <f>IF(I339="","",MAX(0,I339-K339))</f>
        <v/>
      </c>
      <c r="M339" s="19" t="n"/>
      <c r="N339" s="18" t="n"/>
      <c r="O339" s="18" t="n"/>
      <c r="P339" s="23" t="n"/>
      <c r="Q339" s="18" t="n"/>
      <c r="R339" s="18" t="n"/>
      <c r="S339" s="18" t="n"/>
      <c r="T339" s="24">
        <f>IF(E339="","",E339-TODAY())</f>
        <v/>
      </c>
      <c r="U339" s="24">
        <f>IF(OR(M339="Paid",M339="Cancelled",E339=""),"",IF(E339&lt;TODAY(),"OVERDUE",IF(E339&lt;=TODAY()+'Setup &amp; Lists'!$M$7,"DUE SOON","")))</f>
        <v/>
      </c>
    </row>
    <row r="340">
      <c r="A340" s="18" t="n"/>
      <c r="B340" s="19" t="n"/>
      <c r="C340" s="19" t="n"/>
      <c r="D340" s="19" t="n"/>
      <c r="E340" s="20" t="n"/>
      <c r="F340" s="19" t="n"/>
      <c r="G340" s="19" t="n"/>
      <c r="H340" s="19" t="n"/>
      <c r="I340" s="21" t="n"/>
      <c r="J340" s="19" t="n"/>
      <c r="K340" s="21" t="n"/>
      <c r="L340" s="22">
        <f>IF(I340="","",MAX(0,I340-K340))</f>
        <v/>
      </c>
      <c r="M340" s="19" t="n"/>
      <c r="N340" s="18" t="n"/>
      <c r="O340" s="18" t="n"/>
      <c r="P340" s="23" t="n"/>
      <c r="Q340" s="18" t="n"/>
      <c r="R340" s="18" t="n"/>
      <c r="S340" s="18" t="n"/>
      <c r="T340" s="24">
        <f>IF(E340="","",E340-TODAY())</f>
        <v/>
      </c>
      <c r="U340" s="24">
        <f>IF(OR(M340="Paid",M340="Cancelled",E340=""),"",IF(E340&lt;TODAY(),"OVERDUE",IF(E340&lt;=TODAY()+'Setup &amp; Lists'!$M$7,"DUE SOON","")))</f>
        <v/>
      </c>
    </row>
    <row r="341">
      <c r="A341" s="18" t="n"/>
      <c r="B341" s="19" t="n"/>
      <c r="C341" s="19" t="n"/>
      <c r="D341" s="19" t="n"/>
      <c r="E341" s="20" t="n"/>
      <c r="F341" s="19" t="n"/>
      <c r="G341" s="19" t="n"/>
      <c r="H341" s="19" t="n"/>
      <c r="I341" s="21" t="n"/>
      <c r="J341" s="19" t="n"/>
      <c r="K341" s="21" t="n"/>
      <c r="L341" s="22">
        <f>IF(I341="","",MAX(0,I341-K341))</f>
        <v/>
      </c>
      <c r="M341" s="19" t="n"/>
      <c r="N341" s="18" t="n"/>
      <c r="O341" s="18" t="n"/>
      <c r="P341" s="23" t="n"/>
      <c r="Q341" s="18" t="n"/>
      <c r="R341" s="18" t="n"/>
      <c r="S341" s="18" t="n"/>
      <c r="T341" s="24">
        <f>IF(E341="","",E341-TODAY())</f>
        <v/>
      </c>
      <c r="U341" s="24">
        <f>IF(OR(M341="Paid",M341="Cancelled",E341=""),"",IF(E341&lt;TODAY(),"OVERDUE",IF(E341&lt;=TODAY()+'Setup &amp; Lists'!$M$7,"DUE SOON","")))</f>
        <v/>
      </c>
    </row>
    <row r="342">
      <c r="A342" s="18" t="n"/>
      <c r="B342" s="19" t="n"/>
      <c r="C342" s="19" t="n"/>
      <c r="D342" s="19" t="n"/>
      <c r="E342" s="20" t="n"/>
      <c r="F342" s="19" t="n"/>
      <c r="G342" s="19" t="n"/>
      <c r="H342" s="19" t="n"/>
      <c r="I342" s="21" t="n"/>
      <c r="J342" s="19" t="n"/>
      <c r="K342" s="21" t="n"/>
      <c r="L342" s="22">
        <f>IF(I342="","",MAX(0,I342-K342))</f>
        <v/>
      </c>
      <c r="M342" s="19" t="n"/>
      <c r="N342" s="18" t="n"/>
      <c r="O342" s="18" t="n"/>
      <c r="P342" s="23" t="n"/>
      <c r="Q342" s="18" t="n"/>
      <c r="R342" s="18" t="n"/>
      <c r="S342" s="18" t="n"/>
      <c r="T342" s="24">
        <f>IF(E342="","",E342-TODAY())</f>
        <v/>
      </c>
      <c r="U342" s="24">
        <f>IF(OR(M342="Paid",M342="Cancelled",E342=""),"",IF(E342&lt;TODAY(),"OVERDUE",IF(E342&lt;=TODAY()+'Setup &amp; Lists'!$M$7,"DUE SOON","")))</f>
        <v/>
      </c>
    </row>
    <row r="343">
      <c r="A343" s="18" t="n"/>
      <c r="B343" s="19" t="n"/>
      <c r="C343" s="19" t="n"/>
      <c r="D343" s="19" t="n"/>
      <c r="E343" s="20" t="n"/>
      <c r="F343" s="19" t="n"/>
      <c r="G343" s="19" t="n"/>
      <c r="H343" s="19" t="n"/>
      <c r="I343" s="21" t="n"/>
      <c r="J343" s="19" t="n"/>
      <c r="K343" s="21" t="n"/>
      <c r="L343" s="22">
        <f>IF(I343="","",MAX(0,I343-K343))</f>
        <v/>
      </c>
      <c r="M343" s="19" t="n"/>
      <c r="N343" s="18" t="n"/>
      <c r="O343" s="18" t="n"/>
      <c r="P343" s="23" t="n"/>
      <c r="Q343" s="18" t="n"/>
      <c r="R343" s="18" t="n"/>
      <c r="S343" s="18" t="n"/>
      <c r="T343" s="24">
        <f>IF(E343="","",E343-TODAY())</f>
        <v/>
      </c>
      <c r="U343" s="24">
        <f>IF(OR(M343="Paid",M343="Cancelled",E343=""),"",IF(E343&lt;TODAY(),"OVERDUE",IF(E343&lt;=TODAY()+'Setup &amp; Lists'!$M$7,"DUE SOON","")))</f>
        <v/>
      </c>
    </row>
    <row r="344">
      <c r="A344" s="18" t="n"/>
      <c r="B344" s="19" t="n"/>
      <c r="C344" s="19" t="n"/>
      <c r="D344" s="19" t="n"/>
      <c r="E344" s="20" t="n"/>
      <c r="F344" s="19" t="n"/>
      <c r="G344" s="19" t="n"/>
      <c r="H344" s="19" t="n"/>
      <c r="I344" s="21" t="n"/>
      <c r="J344" s="19" t="n"/>
      <c r="K344" s="21" t="n"/>
      <c r="L344" s="22">
        <f>IF(I344="","",MAX(0,I344-K344))</f>
        <v/>
      </c>
      <c r="M344" s="19" t="n"/>
      <c r="N344" s="18" t="n"/>
      <c r="O344" s="18" t="n"/>
      <c r="P344" s="23" t="n"/>
      <c r="Q344" s="18" t="n"/>
      <c r="R344" s="18" t="n"/>
      <c r="S344" s="18" t="n"/>
      <c r="T344" s="24">
        <f>IF(E344="","",E344-TODAY())</f>
        <v/>
      </c>
      <c r="U344" s="24">
        <f>IF(OR(M344="Paid",M344="Cancelled",E344=""),"",IF(E344&lt;TODAY(),"OVERDUE",IF(E344&lt;=TODAY()+'Setup &amp; Lists'!$M$7,"DUE SOON","")))</f>
        <v/>
      </c>
    </row>
    <row r="345">
      <c r="A345" s="18" t="n"/>
      <c r="B345" s="19" t="n"/>
      <c r="C345" s="19" t="n"/>
      <c r="D345" s="19" t="n"/>
      <c r="E345" s="20" t="n"/>
      <c r="F345" s="19" t="n"/>
      <c r="G345" s="19" t="n"/>
      <c r="H345" s="19" t="n"/>
      <c r="I345" s="21" t="n"/>
      <c r="J345" s="19" t="n"/>
      <c r="K345" s="21" t="n"/>
      <c r="L345" s="22">
        <f>IF(I345="","",MAX(0,I345-K345))</f>
        <v/>
      </c>
      <c r="M345" s="19" t="n"/>
      <c r="N345" s="18" t="n"/>
      <c r="O345" s="18" t="n"/>
      <c r="P345" s="23" t="n"/>
      <c r="Q345" s="18" t="n"/>
      <c r="R345" s="18" t="n"/>
      <c r="S345" s="18" t="n"/>
      <c r="T345" s="24">
        <f>IF(E345="","",E345-TODAY())</f>
        <v/>
      </c>
      <c r="U345" s="24">
        <f>IF(OR(M345="Paid",M345="Cancelled",E345=""),"",IF(E345&lt;TODAY(),"OVERDUE",IF(E345&lt;=TODAY()+'Setup &amp; Lists'!$M$7,"DUE SOON","")))</f>
        <v/>
      </c>
    </row>
    <row r="346">
      <c r="A346" s="18" t="n"/>
      <c r="B346" s="19" t="n"/>
      <c r="C346" s="19" t="n"/>
      <c r="D346" s="19" t="n"/>
      <c r="E346" s="20" t="n"/>
      <c r="F346" s="19" t="n"/>
      <c r="G346" s="19" t="n"/>
      <c r="H346" s="19" t="n"/>
      <c r="I346" s="21" t="n"/>
      <c r="J346" s="19" t="n"/>
      <c r="K346" s="21" t="n"/>
      <c r="L346" s="22">
        <f>IF(I346="","",MAX(0,I346-K346))</f>
        <v/>
      </c>
      <c r="M346" s="19" t="n"/>
      <c r="N346" s="18" t="n"/>
      <c r="O346" s="18" t="n"/>
      <c r="P346" s="23" t="n"/>
      <c r="Q346" s="18" t="n"/>
      <c r="R346" s="18" t="n"/>
      <c r="S346" s="18" t="n"/>
      <c r="T346" s="24">
        <f>IF(E346="","",E346-TODAY())</f>
        <v/>
      </c>
      <c r="U346" s="24">
        <f>IF(OR(M346="Paid",M346="Cancelled",E346=""),"",IF(E346&lt;TODAY(),"OVERDUE",IF(E346&lt;=TODAY()+'Setup &amp; Lists'!$M$7,"DUE SOON","")))</f>
        <v/>
      </c>
    </row>
    <row r="347">
      <c r="A347" s="18" t="n"/>
      <c r="B347" s="19" t="n"/>
      <c r="C347" s="19" t="n"/>
      <c r="D347" s="19" t="n"/>
      <c r="E347" s="20" t="n"/>
      <c r="F347" s="19" t="n"/>
      <c r="G347" s="19" t="n"/>
      <c r="H347" s="19" t="n"/>
      <c r="I347" s="21" t="n"/>
      <c r="J347" s="19" t="n"/>
      <c r="K347" s="21" t="n"/>
      <c r="L347" s="22">
        <f>IF(I347="","",MAX(0,I347-K347))</f>
        <v/>
      </c>
      <c r="M347" s="19" t="n"/>
      <c r="N347" s="18" t="n"/>
      <c r="O347" s="18" t="n"/>
      <c r="P347" s="23" t="n"/>
      <c r="Q347" s="18" t="n"/>
      <c r="R347" s="18" t="n"/>
      <c r="S347" s="18" t="n"/>
      <c r="T347" s="24">
        <f>IF(E347="","",E347-TODAY())</f>
        <v/>
      </c>
      <c r="U347" s="24">
        <f>IF(OR(M347="Paid",M347="Cancelled",E347=""),"",IF(E347&lt;TODAY(),"OVERDUE",IF(E347&lt;=TODAY()+'Setup &amp; Lists'!$M$7,"DUE SOON","")))</f>
        <v/>
      </c>
    </row>
    <row r="348">
      <c r="A348" s="18" t="n"/>
      <c r="B348" s="19" t="n"/>
      <c r="C348" s="19" t="n"/>
      <c r="D348" s="19" t="n"/>
      <c r="E348" s="20" t="n"/>
      <c r="F348" s="19" t="n"/>
      <c r="G348" s="19" t="n"/>
      <c r="H348" s="19" t="n"/>
      <c r="I348" s="21" t="n"/>
      <c r="J348" s="19" t="n"/>
      <c r="K348" s="21" t="n"/>
      <c r="L348" s="22">
        <f>IF(I348="","",MAX(0,I348-K348))</f>
        <v/>
      </c>
      <c r="M348" s="19" t="n"/>
      <c r="N348" s="18" t="n"/>
      <c r="O348" s="18" t="n"/>
      <c r="P348" s="23" t="n"/>
      <c r="Q348" s="18" t="n"/>
      <c r="R348" s="18" t="n"/>
      <c r="S348" s="18" t="n"/>
      <c r="T348" s="24">
        <f>IF(E348="","",E348-TODAY())</f>
        <v/>
      </c>
      <c r="U348" s="24">
        <f>IF(OR(M348="Paid",M348="Cancelled",E348=""),"",IF(E348&lt;TODAY(),"OVERDUE",IF(E348&lt;=TODAY()+'Setup &amp; Lists'!$M$7,"DUE SOON","")))</f>
        <v/>
      </c>
    </row>
    <row r="349">
      <c r="A349" s="18" t="n"/>
      <c r="B349" s="19" t="n"/>
      <c r="C349" s="19" t="n"/>
      <c r="D349" s="19" t="n"/>
      <c r="E349" s="20" t="n"/>
      <c r="F349" s="19" t="n"/>
      <c r="G349" s="19" t="n"/>
      <c r="H349" s="19" t="n"/>
      <c r="I349" s="21" t="n"/>
      <c r="J349" s="19" t="n"/>
      <c r="K349" s="21" t="n"/>
      <c r="L349" s="22">
        <f>IF(I349="","",MAX(0,I349-K349))</f>
        <v/>
      </c>
      <c r="M349" s="19" t="n"/>
      <c r="N349" s="18" t="n"/>
      <c r="O349" s="18" t="n"/>
      <c r="P349" s="23" t="n"/>
      <c r="Q349" s="18" t="n"/>
      <c r="R349" s="18" t="n"/>
      <c r="S349" s="18" t="n"/>
      <c r="T349" s="24">
        <f>IF(E349="","",E349-TODAY())</f>
        <v/>
      </c>
      <c r="U349" s="24">
        <f>IF(OR(M349="Paid",M349="Cancelled",E349=""),"",IF(E349&lt;TODAY(),"OVERDUE",IF(E349&lt;=TODAY()+'Setup &amp; Lists'!$M$7,"DUE SOON","")))</f>
        <v/>
      </c>
    </row>
    <row r="350">
      <c r="A350" s="18" t="n"/>
      <c r="B350" s="19" t="n"/>
      <c r="C350" s="19" t="n"/>
      <c r="D350" s="19" t="n"/>
      <c r="E350" s="20" t="n"/>
      <c r="F350" s="19" t="n"/>
      <c r="G350" s="19" t="n"/>
      <c r="H350" s="19" t="n"/>
      <c r="I350" s="21" t="n"/>
      <c r="J350" s="19" t="n"/>
      <c r="K350" s="21" t="n"/>
      <c r="L350" s="22">
        <f>IF(I350="","",MAX(0,I350-K350))</f>
        <v/>
      </c>
      <c r="M350" s="19" t="n"/>
      <c r="N350" s="18" t="n"/>
      <c r="O350" s="18" t="n"/>
      <c r="P350" s="23" t="n"/>
      <c r="Q350" s="18" t="n"/>
      <c r="R350" s="18" t="n"/>
      <c r="S350" s="18" t="n"/>
      <c r="T350" s="24">
        <f>IF(E350="","",E350-TODAY())</f>
        <v/>
      </c>
      <c r="U350" s="24">
        <f>IF(OR(M350="Paid",M350="Cancelled",E350=""),"",IF(E350&lt;TODAY(),"OVERDUE",IF(E350&lt;=TODAY()+'Setup &amp; Lists'!$M$7,"DUE SOON","")))</f>
        <v/>
      </c>
    </row>
    <row r="351">
      <c r="A351" s="18" t="n"/>
      <c r="B351" s="19" t="n"/>
      <c r="C351" s="19" t="n"/>
      <c r="D351" s="19" t="n"/>
      <c r="E351" s="20" t="n"/>
      <c r="F351" s="19" t="n"/>
      <c r="G351" s="19" t="n"/>
      <c r="H351" s="19" t="n"/>
      <c r="I351" s="21" t="n"/>
      <c r="J351" s="19" t="n"/>
      <c r="K351" s="21" t="n"/>
      <c r="L351" s="22">
        <f>IF(I351="","",MAX(0,I351-K351))</f>
        <v/>
      </c>
      <c r="M351" s="19" t="n"/>
      <c r="N351" s="18" t="n"/>
      <c r="O351" s="18" t="n"/>
      <c r="P351" s="23" t="n"/>
      <c r="Q351" s="18" t="n"/>
      <c r="R351" s="18" t="n"/>
      <c r="S351" s="18" t="n"/>
      <c r="T351" s="24">
        <f>IF(E351="","",E351-TODAY())</f>
        <v/>
      </c>
      <c r="U351" s="24">
        <f>IF(OR(M351="Paid",M351="Cancelled",E351=""),"",IF(E351&lt;TODAY(),"OVERDUE",IF(E351&lt;=TODAY()+'Setup &amp; Lists'!$M$7,"DUE SOON","")))</f>
        <v/>
      </c>
    </row>
    <row r="352">
      <c r="A352" s="18" t="n"/>
      <c r="B352" s="19" t="n"/>
      <c r="C352" s="19" t="n"/>
      <c r="D352" s="19" t="n"/>
      <c r="E352" s="20" t="n"/>
      <c r="F352" s="19" t="n"/>
      <c r="G352" s="19" t="n"/>
      <c r="H352" s="19" t="n"/>
      <c r="I352" s="21" t="n"/>
      <c r="J352" s="19" t="n"/>
      <c r="K352" s="21" t="n"/>
      <c r="L352" s="22">
        <f>IF(I352="","",MAX(0,I352-K352))</f>
        <v/>
      </c>
      <c r="M352" s="19" t="n"/>
      <c r="N352" s="18" t="n"/>
      <c r="O352" s="18" t="n"/>
      <c r="P352" s="23" t="n"/>
      <c r="Q352" s="18" t="n"/>
      <c r="R352" s="18" t="n"/>
      <c r="S352" s="18" t="n"/>
      <c r="T352" s="24">
        <f>IF(E352="","",E352-TODAY())</f>
        <v/>
      </c>
      <c r="U352" s="24">
        <f>IF(OR(M352="Paid",M352="Cancelled",E352=""),"",IF(E352&lt;TODAY(),"OVERDUE",IF(E352&lt;=TODAY()+'Setup &amp; Lists'!$M$7,"DUE SOON","")))</f>
        <v/>
      </c>
    </row>
    <row r="353">
      <c r="A353" s="18" t="n"/>
      <c r="B353" s="19" t="n"/>
      <c r="C353" s="19" t="n"/>
      <c r="D353" s="19" t="n"/>
      <c r="E353" s="20" t="n"/>
      <c r="F353" s="19" t="n"/>
      <c r="G353" s="19" t="n"/>
      <c r="H353" s="19" t="n"/>
      <c r="I353" s="21" t="n"/>
      <c r="J353" s="19" t="n"/>
      <c r="K353" s="21" t="n"/>
      <c r="L353" s="22">
        <f>IF(I353="","",MAX(0,I353-K353))</f>
        <v/>
      </c>
      <c r="M353" s="19" t="n"/>
      <c r="N353" s="18" t="n"/>
      <c r="O353" s="18" t="n"/>
      <c r="P353" s="23" t="n"/>
      <c r="Q353" s="18" t="n"/>
      <c r="R353" s="18" t="n"/>
      <c r="S353" s="18" t="n"/>
      <c r="T353" s="24">
        <f>IF(E353="","",E353-TODAY())</f>
        <v/>
      </c>
      <c r="U353" s="24">
        <f>IF(OR(M353="Paid",M353="Cancelled",E353=""),"",IF(E353&lt;TODAY(),"OVERDUE",IF(E353&lt;=TODAY()+'Setup &amp; Lists'!$M$7,"DUE SOON","")))</f>
        <v/>
      </c>
    </row>
    <row r="354">
      <c r="A354" s="18" t="n"/>
      <c r="B354" s="19" t="n"/>
      <c r="C354" s="19" t="n"/>
      <c r="D354" s="19" t="n"/>
      <c r="E354" s="20" t="n"/>
      <c r="F354" s="19" t="n"/>
      <c r="G354" s="19" t="n"/>
      <c r="H354" s="19" t="n"/>
      <c r="I354" s="21" t="n"/>
      <c r="J354" s="19" t="n"/>
      <c r="K354" s="21" t="n"/>
      <c r="L354" s="22">
        <f>IF(I354="","",MAX(0,I354-K354))</f>
        <v/>
      </c>
      <c r="M354" s="19" t="n"/>
      <c r="N354" s="18" t="n"/>
      <c r="O354" s="18" t="n"/>
      <c r="P354" s="23" t="n"/>
      <c r="Q354" s="18" t="n"/>
      <c r="R354" s="18" t="n"/>
      <c r="S354" s="18" t="n"/>
      <c r="T354" s="24">
        <f>IF(E354="","",E354-TODAY())</f>
        <v/>
      </c>
      <c r="U354" s="24">
        <f>IF(OR(M354="Paid",M354="Cancelled",E354=""),"",IF(E354&lt;TODAY(),"OVERDUE",IF(E354&lt;=TODAY()+'Setup &amp; Lists'!$M$7,"DUE SOON","")))</f>
        <v/>
      </c>
    </row>
    <row r="355">
      <c r="A355" s="18" t="n"/>
      <c r="B355" s="19" t="n"/>
      <c r="C355" s="19" t="n"/>
      <c r="D355" s="19" t="n"/>
      <c r="E355" s="20" t="n"/>
      <c r="F355" s="19" t="n"/>
      <c r="G355" s="19" t="n"/>
      <c r="H355" s="19" t="n"/>
      <c r="I355" s="21" t="n"/>
      <c r="J355" s="19" t="n"/>
      <c r="K355" s="21" t="n"/>
      <c r="L355" s="22">
        <f>IF(I355="","",MAX(0,I355-K355))</f>
        <v/>
      </c>
      <c r="M355" s="19" t="n"/>
      <c r="N355" s="18" t="n"/>
      <c r="O355" s="18" t="n"/>
      <c r="P355" s="23" t="n"/>
      <c r="Q355" s="18" t="n"/>
      <c r="R355" s="18" t="n"/>
      <c r="S355" s="18" t="n"/>
      <c r="T355" s="24">
        <f>IF(E355="","",E355-TODAY())</f>
        <v/>
      </c>
      <c r="U355" s="24">
        <f>IF(OR(M355="Paid",M355="Cancelled",E355=""),"",IF(E355&lt;TODAY(),"OVERDUE",IF(E355&lt;=TODAY()+'Setup &amp; Lists'!$M$7,"DUE SOON","")))</f>
        <v/>
      </c>
    </row>
    <row r="356">
      <c r="A356" s="18" t="n"/>
      <c r="B356" s="19" t="n"/>
      <c r="C356" s="19" t="n"/>
      <c r="D356" s="19" t="n"/>
      <c r="E356" s="20" t="n"/>
      <c r="F356" s="19" t="n"/>
      <c r="G356" s="19" t="n"/>
      <c r="H356" s="19" t="n"/>
      <c r="I356" s="21" t="n"/>
      <c r="J356" s="19" t="n"/>
      <c r="K356" s="21" t="n"/>
      <c r="L356" s="22">
        <f>IF(I356="","",MAX(0,I356-K356))</f>
        <v/>
      </c>
      <c r="M356" s="19" t="n"/>
      <c r="N356" s="18" t="n"/>
      <c r="O356" s="18" t="n"/>
      <c r="P356" s="23" t="n"/>
      <c r="Q356" s="18" t="n"/>
      <c r="R356" s="18" t="n"/>
      <c r="S356" s="18" t="n"/>
      <c r="T356" s="24">
        <f>IF(E356="","",E356-TODAY())</f>
        <v/>
      </c>
      <c r="U356" s="24">
        <f>IF(OR(M356="Paid",M356="Cancelled",E356=""),"",IF(E356&lt;TODAY(),"OVERDUE",IF(E356&lt;=TODAY()+'Setup &amp; Lists'!$M$7,"DUE SOON","")))</f>
        <v/>
      </c>
    </row>
    <row r="357">
      <c r="A357" s="18" t="n"/>
      <c r="B357" s="19" t="n"/>
      <c r="C357" s="19" t="n"/>
      <c r="D357" s="19" t="n"/>
      <c r="E357" s="20" t="n"/>
      <c r="F357" s="19" t="n"/>
      <c r="G357" s="19" t="n"/>
      <c r="H357" s="19" t="n"/>
      <c r="I357" s="21" t="n"/>
      <c r="J357" s="19" t="n"/>
      <c r="K357" s="21" t="n"/>
      <c r="L357" s="22">
        <f>IF(I357="","",MAX(0,I357-K357))</f>
        <v/>
      </c>
      <c r="M357" s="19" t="n"/>
      <c r="N357" s="18" t="n"/>
      <c r="O357" s="18" t="n"/>
      <c r="P357" s="23" t="n"/>
      <c r="Q357" s="18" t="n"/>
      <c r="R357" s="18" t="n"/>
      <c r="S357" s="18" t="n"/>
      <c r="T357" s="24">
        <f>IF(E357="","",E357-TODAY())</f>
        <v/>
      </c>
      <c r="U357" s="24">
        <f>IF(OR(M357="Paid",M357="Cancelled",E357=""),"",IF(E357&lt;TODAY(),"OVERDUE",IF(E357&lt;=TODAY()+'Setup &amp; Lists'!$M$7,"DUE SOON","")))</f>
        <v/>
      </c>
    </row>
    <row r="358">
      <c r="A358" s="18" t="n"/>
      <c r="B358" s="19" t="n"/>
      <c r="C358" s="19" t="n"/>
      <c r="D358" s="19" t="n"/>
      <c r="E358" s="20" t="n"/>
      <c r="F358" s="19" t="n"/>
      <c r="G358" s="19" t="n"/>
      <c r="H358" s="19" t="n"/>
      <c r="I358" s="21" t="n"/>
      <c r="J358" s="19" t="n"/>
      <c r="K358" s="21" t="n"/>
      <c r="L358" s="22">
        <f>IF(I358="","",MAX(0,I358-K358))</f>
        <v/>
      </c>
      <c r="M358" s="19" t="n"/>
      <c r="N358" s="18" t="n"/>
      <c r="O358" s="18" t="n"/>
      <c r="P358" s="23" t="n"/>
      <c r="Q358" s="18" t="n"/>
      <c r="R358" s="18" t="n"/>
      <c r="S358" s="18" t="n"/>
      <c r="T358" s="24">
        <f>IF(E358="","",E358-TODAY())</f>
        <v/>
      </c>
      <c r="U358" s="24">
        <f>IF(OR(M358="Paid",M358="Cancelled",E358=""),"",IF(E358&lt;TODAY(),"OVERDUE",IF(E358&lt;=TODAY()+'Setup &amp; Lists'!$M$7,"DUE SOON","")))</f>
        <v/>
      </c>
    </row>
    <row r="359">
      <c r="A359" s="18" t="n"/>
      <c r="B359" s="19" t="n"/>
      <c r="C359" s="19" t="n"/>
      <c r="D359" s="19" t="n"/>
      <c r="E359" s="20" t="n"/>
      <c r="F359" s="19" t="n"/>
      <c r="G359" s="19" t="n"/>
      <c r="H359" s="19" t="n"/>
      <c r="I359" s="21" t="n"/>
      <c r="J359" s="19" t="n"/>
      <c r="K359" s="21" t="n"/>
      <c r="L359" s="22">
        <f>IF(I359="","",MAX(0,I359-K359))</f>
        <v/>
      </c>
      <c r="M359" s="19" t="n"/>
      <c r="N359" s="18" t="n"/>
      <c r="O359" s="18" t="n"/>
      <c r="P359" s="23" t="n"/>
      <c r="Q359" s="18" t="n"/>
      <c r="R359" s="18" t="n"/>
      <c r="S359" s="18" t="n"/>
      <c r="T359" s="24">
        <f>IF(E359="","",E359-TODAY())</f>
        <v/>
      </c>
      <c r="U359" s="24">
        <f>IF(OR(M359="Paid",M359="Cancelled",E359=""),"",IF(E359&lt;TODAY(),"OVERDUE",IF(E359&lt;=TODAY()+'Setup &amp; Lists'!$M$7,"DUE SOON","")))</f>
        <v/>
      </c>
    </row>
    <row r="360">
      <c r="A360" s="18" t="n"/>
      <c r="B360" s="19" t="n"/>
      <c r="C360" s="19" t="n"/>
      <c r="D360" s="19" t="n"/>
      <c r="E360" s="20" t="n"/>
      <c r="F360" s="19" t="n"/>
      <c r="G360" s="19" t="n"/>
      <c r="H360" s="19" t="n"/>
      <c r="I360" s="21" t="n"/>
      <c r="J360" s="19" t="n"/>
      <c r="K360" s="21" t="n"/>
      <c r="L360" s="22">
        <f>IF(I360="","",MAX(0,I360-K360))</f>
        <v/>
      </c>
      <c r="M360" s="19" t="n"/>
      <c r="N360" s="18" t="n"/>
      <c r="O360" s="18" t="n"/>
      <c r="P360" s="23" t="n"/>
      <c r="Q360" s="18" t="n"/>
      <c r="R360" s="18" t="n"/>
      <c r="S360" s="18" t="n"/>
      <c r="T360" s="24">
        <f>IF(E360="","",E360-TODAY())</f>
        <v/>
      </c>
      <c r="U360" s="24">
        <f>IF(OR(M360="Paid",M360="Cancelled",E360=""),"",IF(E360&lt;TODAY(),"OVERDUE",IF(E360&lt;=TODAY()+'Setup &amp; Lists'!$M$7,"DUE SOON","")))</f>
        <v/>
      </c>
    </row>
    <row r="361">
      <c r="A361" s="18" t="n"/>
      <c r="B361" s="19" t="n"/>
      <c r="C361" s="19" t="n"/>
      <c r="D361" s="19" t="n"/>
      <c r="E361" s="20" t="n"/>
      <c r="F361" s="19" t="n"/>
      <c r="G361" s="19" t="n"/>
      <c r="H361" s="19" t="n"/>
      <c r="I361" s="21" t="n"/>
      <c r="J361" s="19" t="n"/>
      <c r="K361" s="21" t="n"/>
      <c r="L361" s="22">
        <f>IF(I361="","",MAX(0,I361-K361))</f>
        <v/>
      </c>
      <c r="M361" s="19" t="n"/>
      <c r="N361" s="18" t="n"/>
      <c r="O361" s="18" t="n"/>
      <c r="P361" s="23" t="n"/>
      <c r="Q361" s="18" t="n"/>
      <c r="R361" s="18" t="n"/>
      <c r="S361" s="18" t="n"/>
      <c r="T361" s="24">
        <f>IF(E361="","",E361-TODAY())</f>
        <v/>
      </c>
      <c r="U361" s="24">
        <f>IF(OR(M361="Paid",M361="Cancelled",E361=""),"",IF(E361&lt;TODAY(),"OVERDUE",IF(E361&lt;=TODAY()+'Setup &amp; Lists'!$M$7,"DUE SOON","")))</f>
        <v/>
      </c>
    </row>
    <row r="362">
      <c r="A362" s="18" t="n"/>
      <c r="B362" s="19" t="n"/>
      <c r="C362" s="19" t="n"/>
      <c r="D362" s="19" t="n"/>
      <c r="E362" s="20" t="n"/>
      <c r="F362" s="19" t="n"/>
      <c r="G362" s="19" t="n"/>
      <c r="H362" s="19" t="n"/>
      <c r="I362" s="21" t="n"/>
      <c r="J362" s="19" t="n"/>
      <c r="K362" s="21" t="n"/>
      <c r="L362" s="22">
        <f>IF(I362="","",MAX(0,I362-K362))</f>
        <v/>
      </c>
      <c r="M362" s="19" t="n"/>
      <c r="N362" s="18" t="n"/>
      <c r="O362" s="18" t="n"/>
      <c r="P362" s="23" t="n"/>
      <c r="Q362" s="18" t="n"/>
      <c r="R362" s="18" t="n"/>
      <c r="S362" s="18" t="n"/>
      <c r="T362" s="24">
        <f>IF(E362="","",E362-TODAY())</f>
        <v/>
      </c>
      <c r="U362" s="24">
        <f>IF(OR(M362="Paid",M362="Cancelled",E362=""),"",IF(E362&lt;TODAY(),"OVERDUE",IF(E362&lt;=TODAY()+'Setup &amp; Lists'!$M$7,"DUE SOON","")))</f>
        <v/>
      </c>
    </row>
    <row r="363">
      <c r="A363" s="18" t="n"/>
      <c r="B363" s="19" t="n"/>
      <c r="C363" s="19" t="n"/>
      <c r="D363" s="19" t="n"/>
      <c r="E363" s="20" t="n"/>
      <c r="F363" s="19" t="n"/>
      <c r="G363" s="19" t="n"/>
      <c r="H363" s="19" t="n"/>
      <c r="I363" s="21" t="n"/>
      <c r="J363" s="19" t="n"/>
      <c r="K363" s="21" t="n"/>
      <c r="L363" s="22">
        <f>IF(I363="","",MAX(0,I363-K363))</f>
        <v/>
      </c>
      <c r="M363" s="19" t="n"/>
      <c r="N363" s="18" t="n"/>
      <c r="O363" s="18" t="n"/>
      <c r="P363" s="23" t="n"/>
      <c r="Q363" s="18" t="n"/>
      <c r="R363" s="18" t="n"/>
      <c r="S363" s="18" t="n"/>
      <c r="T363" s="24">
        <f>IF(E363="","",E363-TODAY())</f>
        <v/>
      </c>
      <c r="U363" s="24">
        <f>IF(OR(M363="Paid",M363="Cancelled",E363=""),"",IF(E363&lt;TODAY(),"OVERDUE",IF(E363&lt;=TODAY()+'Setup &amp; Lists'!$M$7,"DUE SOON","")))</f>
        <v/>
      </c>
    </row>
    <row r="364">
      <c r="A364" s="18" t="n"/>
      <c r="B364" s="19" t="n"/>
      <c r="C364" s="19" t="n"/>
      <c r="D364" s="19" t="n"/>
      <c r="E364" s="20" t="n"/>
      <c r="F364" s="19" t="n"/>
      <c r="G364" s="19" t="n"/>
      <c r="H364" s="19" t="n"/>
      <c r="I364" s="21" t="n"/>
      <c r="J364" s="19" t="n"/>
      <c r="K364" s="21" t="n"/>
      <c r="L364" s="22">
        <f>IF(I364="","",MAX(0,I364-K364))</f>
        <v/>
      </c>
      <c r="M364" s="19" t="n"/>
      <c r="N364" s="18" t="n"/>
      <c r="O364" s="18" t="n"/>
      <c r="P364" s="23" t="n"/>
      <c r="Q364" s="18" t="n"/>
      <c r="R364" s="18" t="n"/>
      <c r="S364" s="18" t="n"/>
      <c r="T364" s="24">
        <f>IF(E364="","",E364-TODAY())</f>
        <v/>
      </c>
      <c r="U364" s="24">
        <f>IF(OR(M364="Paid",M364="Cancelled",E364=""),"",IF(E364&lt;TODAY(),"OVERDUE",IF(E364&lt;=TODAY()+'Setup &amp; Lists'!$M$7,"DUE SOON","")))</f>
        <v/>
      </c>
    </row>
    <row r="365">
      <c r="A365" s="18" t="n"/>
      <c r="B365" s="19" t="n"/>
      <c r="C365" s="19" t="n"/>
      <c r="D365" s="19" t="n"/>
      <c r="E365" s="20" t="n"/>
      <c r="F365" s="19" t="n"/>
      <c r="G365" s="19" t="n"/>
      <c r="H365" s="19" t="n"/>
      <c r="I365" s="21" t="n"/>
      <c r="J365" s="19" t="n"/>
      <c r="K365" s="21" t="n"/>
      <c r="L365" s="22">
        <f>IF(I365="","",MAX(0,I365-K365))</f>
        <v/>
      </c>
      <c r="M365" s="19" t="n"/>
      <c r="N365" s="18" t="n"/>
      <c r="O365" s="18" t="n"/>
      <c r="P365" s="23" t="n"/>
      <c r="Q365" s="18" t="n"/>
      <c r="R365" s="18" t="n"/>
      <c r="S365" s="18" t="n"/>
      <c r="T365" s="24">
        <f>IF(E365="","",E365-TODAY())</f>
        <v/>
      </c>
      <c r="U365" s="24">
        <f>IF(OR(M365="Paid",M365="Cancelled",E365=""),"",IF(E365&lt;TODAY(),"OVERDUE",IF(E365&lt;=TODAY()+'Setup &amp; Lists'!$M$7,"DUE SOON","")))</f>
        <v/>
      </c>
    </row>
    <row r="366">
      <c r="A366" s="18" t="n"/>
      <c r="B366" s="19" t="n"/>
      <c r="C366" s="19" t="n"/>
      <c r="D366" s="19" t="n"/>
      <c r="E366" s="20" t="n"/>
      <c r="F366" s="19" t="n"/>
      <c r="G366" s="19" t="n"/>
      <c r="H366" s="19" t="n"/>
      <c r="I366" s="21" t="n"/>
      <c r="J366" s="19" t="n"/>
      <c r="K366" s="21" t="n"/>
      <c r="L366" s="22">
        <f>IF(I366="","",MAX(0,I366-K366))</f>
        <v/>
      </c>
      <c r="M366" s="19" t="n"/>
      <c r="N366" s="18" t="n"/>
      <c r="O366" s="18" t="n"/>
      <c r="P366" s="23" t="n"/>
      <c r="Q366" s="18" t="n"/>
      <c r="R366" s="18" t="n"/>
      <c r="S366" s="18" t="n"/>
      <c r="T366" s="24">
        <f>IF(E366="","",E366-TODAY())</f>
        <v/>
      </c>
      <c r="U366" s="24">
        <f>IF(OR(M366="Paid",M366="Cancelled",E366=""),"",IF(E366&lt;TODAY(),"OVERDUE",IF(E366&lt;=TODAY()+'Setup &amp; Lists'!$M$7,"DUE SOON","")))</f>
        <v/>
      </c>
    </row>
    <row r="367">
      <c r="A367" s="18" t="n"/>
      <c r="B367" s="19" t="n"/>
      <c r="C367" s="19" t="n"/>
      <c r="D367" s="19" t="n"/>
      <c r="E367" s="20" t="n"/>
      <c r="F367" s="19" t="n"/>
      <c r="G367" s="19" t="n"/>
      <c r="H367" s="19" t="n"/>
      <c r="I367" s="21" t="n"/>
      <c r="J367" s="19" t="n"/>
      <c r="K367" s="21" t="n"/>
      <c r="L367" s="22">
        <f>IF(I367="","",MAX(0,I367-K367))</f>
        <v/>
      </c>
      <c r="M367" s="19" t="n"/>
      <c r="N367" s="18" t="n"/>
      <c r="O367" s="18" t="n"/>
      <c r="P367" s="23" t="n"/>
      <c r="Q367" s="18" t="n"/>
      <c r="R367" s="18" t="n"/>
      <c r="S367" s="18" t="n"/>
      <c r="T367" s="24">
        <f>IF(E367="","",E367-TODAY())</f>
        <v/>
      </c>
      <c r="U367" s="24">
        <f>IF(OR(M367="Paid",M367="Cancelled",E367=""),"",IF(E367&lt;TODAY(),"OVERDUE",IF(E367&lt;=TODAY()+'Setup &amp; Lists'!$M$7,"DUE SOON","")))</f>
        <v/>
      </c>
    </row>
    <row r="368">
      <c r="A368" s="18" t="n"/>
      <c r="B368" s="19" t="n"/>
      <c r="C368" s="19" t="n"/>
      <c r="D368" s="19" t="n"/>
      <c r="E368" s="20" t="n"/>
      <c r="F368" s="19" t="n"/>
      <c r="G368" s="19" t="n"/>
      <c r="H368" s="19" t="n"/>
      <c r="I368" s="21" t="n"/>
      <c r="J368" s="19" t="n"/>
      <c r="K368" s="21" t="n"/>
      <c r="L368" s="22">
        <f>IF(I368="","",MAX(0,I368-K368))</f>
        <v/>
      </c>
      <c r="M368" s="19" t="n"/>
      <c r="N368" s="18" t="n"/>
      <c r="O368" s="18" t="n"/>
      <c r="P368" s="23" t="n"/>
      <c r="Q368" s="18" t="n"/>
      <c r="R368" s="18" t="n"/>
      <c r="S368" s="18" t="n"/>
      <c r="T368" s="24">
        <f>IF(E368="","",E368-TODAY())</f>
        <v/>
      </c>
      <c r="U368" s="24">
        <f>IF(OR(M368="Paid",M368="Cancelled",E368=""),"",IF(E368&lt;TODAY(),"OVERDUE",IF(E368&lt;=TODAY()+'Setup &amp; Lists'!$M$7,"DUE SOON","")))</f>
        <v/>
      </c>
    </row>
    <row r="369">
      <c r="A369" s="18" t="n"/>
      <c r="B369" s="19" t="n"/>
      <c r="C369" s="19" t="n"/>
      <c r="D369" s="19" t="n"/>
      <c r="E369" s="20" t="n"/>
      <c r="F369" s="19" t="n"/>
      <c r="G369" s="19" t="n"/>
      <c r="H369" s="19" t="n"/>
      <c r="I369" s="21" t="n"/>
      <c r="J369" s="19" t="n"/>
      <c r="K369" s="21" t="n"/>
      <c r="L369" s="22">
        <f>IF(I369="","",MAX(0,I369-K369))</f>
        <v/>
      </c>
      <c r="M369" s="19" t="n"/>
      <c r="N369" s="18" t="n"/>
      <c r="O369" s="18" t="n"/>
      <c r="P369" s="23" t="n"/>
      <c r="Q369" s="18" t="n"/>
      <c r="R369" s="18" t="n"/>
      <c r="S369" s="18" t="n"/>
      <c r="T369" s="24">
        <f>IF(E369="","",E369-TODAY())</f>
        <v/>
      </c>
      <c r="U369" s="24">
        <f>IF(OR(M369="Paid",M369="Cancelled",E369=""),"",IF(E369&lt;TODAY(),"OVERDUE",IF(E369&lt;=TODAY()+'Setup &amp; Lists'!$M$7,"DUE SOON","")))</f>
        <v/>
      </c>
    </row>
    <row r="370">
      <c r="A370" s="18" t="n"/>
      <c r="B370" s="19" t="n"/>
      <c r="C370" s="19" t="n"/>
      <c r="D370" s="19" t="n"/>
      <c r="E370" s="20" t="n"/>
      <c r="F370" s="19" t="n"/>
      <c r="G370" s="19" t="n"/>
      <c r="H370" s="19" t="n"/>
      <c r="I370" s="21" t="n"/>
      <c r="J370" s="19" t="n"/>
      <c r="K370" s="21" t="n"/>
      <c r="L370" s="22">
        <f>IF(I370="","",MAX(0,I370-K370))</f>
        <v/>
      </c>
      <c r="M370" s="19" t="n"/>
      <c r="N370" s="18" t="n"/>
      <c r="O370" s="18" t="n"/>
      <c r="P370" s="23" t="n"/>
      <c r="Q370" s="18" t="n"/>
      <c r="R370" s="18" t="n"/>
      <c r="S370" s="18" t="n"/>
      <c r="T370" s="24">
        <f>IF(E370="","",E370-TODAY())</f>
        <v/>
      </c>
      <c r="U370" s="24">
        <f>IF(OR(M370="Paid",M370="Cancelled",E370=""),"",IF(E370&lt;TODAY(),"OVERDUE",IF(E370&lt;=TODAY()+'Setup &amp; Lists'!$M$7,"DUE SOON","")))</f>
        <v/>
      </c>
    </row>
    <row r="371">
      <c r="A371" s="18" t="n"/>
      <c r="B371" s="19" t="n"/>
      <c r="C371" s="19" t="n"/>
      <c r="D371" s="19" t="n"/>
      <c r="E371" s="20" t="n"/>
      <c r="F371" s="19" t="n"/>
      <c r="G371" s="19" t="n"/>
      <c r="H371" s="19" t="n"/>
      <c r="I371" s="21" t="n"/>
      <c r="J371" s="19" t="n"/>
      <c r="K371" s="21" t="n"/>
      <c r="L371" s="22">
        <f>IF(I371="","",MAX(0,I371-K371))</f>
        <v/>
      </c>
      <c r="M371" s="19" t="n"/>
      <c r="N371" s="18" t="n"/>
      <c r="O371" s="18" t="n"/>
      <c r="P371" s="23" t="n"/>
      <c r="Q371" s="18" t="n"/>
      <c r="R371" s="18" t="n"/>
      <c r="S371" s="18" t="n"/>
      <c r="T371" s="24">
        <f>IF(E371="","",E371-TODAY())</f>
        <v/>
      </c>
      <c r="U371" s="24">
        <f>IF(OR(M371="Paid",M371="Cancelled",E371=""),"",IF(E371&lt;TODAY(),"OVERDUE",IF(E371&lt;=TODAY()+'Setup &amp; Lists'!$M$7,"DUE SOON","")))</f>
        <v/>
      </c>
    </row>
    <row r="372">
      <c r="A372" s="18" t="n"/>
      <c r="B372" s="19" t="n"/>
      <c r="C372" s="19" t="n"/>
      <c r="D372" s="19" t="n"/>
      <c r="E372" s="20" t="n"/>
      <c r="F372" s="19" t="n"/>
      <c r="G372" s="19" t="n"/>
      <c r="H372" s="19" t="n"/>
      <c r="I372" s="21" t="n"/>
      <c r="J372" s="19" t="n"/>
      <c r="K372" s="21" t="n"/>
      <c r="L372" s="22">
        <f>IF(I372="","",MAX(0,I372-K372))</f>
        <v/>
      </c>
      <c r="M372" s="19" t="n"/>
      <c r="N372" s="18" t="n"/>
      <c r="O372" s="18" t="n"/>
      <c r="P372" s="23" t="n"/>
      <c r="Q372" s="18" t="n"/>
      <c r="R372" s="18" t="n"/>
      <c r="S372" s="18" t="n"/>
      <c r="T372" s="24">
        <f>IF(E372="","",E372-TODAY())</f>
        <v/>
      </c>
      <c r="U372" s="24">
        <f>IF(OR(M372="Paid",M372="Cancelled",E372=""),"",IF(E372&lt;TODAY(),"OVERDUE",IF(E372&lt;=TODAY()+'Setup &amp; Lists'!$M$7,"DUE SOON","")))</f>
        <v/>
      </c>
    </row>
    <row r="373">
      <c r="A373" s="18" t="n"/>
      <c r="B373" s="19" t="n"/>
      <c r="C373" s="19" t="n"/>
      <c r="D373" s="19" t="n"/>
      <c r="E373" s="20" t="n"/>
      <c r="F373" s="19" t="n"/>
      <c r="G373" s="19" t="n"/>
      <c r="H373" s="19" t="n"/>
      <c r="I373" s="21" t="n"/>
      <c r="J373" s="19" t="n"/>
      <c r="K373" s="21" t="n"/>
      <c r="L373" s="22">
        <f>IF(I373="","",MAX(0,I373-K373))</f>
        <v/>
      </c>
      <c r="M373" s="19" t="n"/>
      <c r="N373" s="18" t="n"/>
      <c r="O373" s="18" t="n"/>
      <c r="P373" s="23" t="n"/>
      <c r="Q373" s="18" t="n"/>
      <c r="R373" s="18" t="n"/>
      <c r="S373" s="18" t="n"/>
      <c r="T373" s="24">
        <f>IF(E373="","",E373-TODAY())</f>
        <v/>
      </c>
      <c r="U373" s="24">
        <f>IF(OR(M373="Paid",M373="Cancelled",E373=""),"",IF(E373&lt;TODAY(),"OVERDUE",IF(E373&lt;=TODAY()+'Setup &amp; Lists'!$M$7,"DUE SOON","")))</f>
        <v/>
      </c>
    </row>
    <row r="374">
      <c r="A374" s="18" t="n"/>
      <c r="B374" s="19" t="n"/>
      <c r="C374" s="19" t="n"/>
      <c r="D374" s="19" t="n"/>
      <c r="E374" s="20" t="n"/>
      <c r="F374" s="19" t="n"/>
      <c r="G374" s="19" t="n"/>
      <c r="H374" s="19" t="n"/>
      <c r="I374" s="21" t="n"/>
      <c r="J374" s="19" t="n"/>
      <c r="K374" s="21" t="n"/>
      <c r="L374" s="22">
        <f>IF(I374="","",MAX(0,I374-K374))</f>
        <v/>
      </c>
      <c r="M374" s="19" t="n"/>
      <c r="N374" s="18" t="n"/>
      <c r="O374" s="18" t="n"/>
      <c r="P374" s="23" t="n"/>
      <c r="Q374" s="18" t="n"/>
      <c r="R374" s="18" t="n"/>
      <c r="S374" s="18" t="n"/>
      <c r="T374" s="24">
        <f>IF(E374="","",E374-TODAY())</f>
        <v/>
      </c>
      <c r="U374" s="24">
        <f>IF(OR(M374="Paid",M374="Cancelled",E374=""),"",IF(E374&lt;TODAY(),"OVERDUE",IF(E374&lt;=TODAY()+'Setup &amp; Lists'!$M$7,"DUE SOON","")))</f>
        <v/>
      </c>
    </row>
    <row r="375">
      <c r="A375" s="18" t="n"/>
      <c r="B375" s="19" t="n"/>
      <c r="C375" s="19" t="n"/>
      <c r="D375" s="19" t="n"/>
      <c r="E375" s="20" t="n"/>
      <c r="F375" s="19" t="n"/>
      <c r="G375" s="19" t="n"/>
      <c r="H375" s="19" t="n"/>
      <c r="I375" s="21" t="n"/>
      <c r="J375" s="19" t="n"/>
      <c r="K375" s="21" t="n"/>
      <c r="L375" s="22">
        <f>IF(I375="","",MAX(0,I375-K375))</f>
        <v/>
      </c>
      <c r="M375" s="19" t="n"/>
      <c r="N375" s="18" t="n"/>
      <c r="O375" s="18" t="n"/>
      <c r="P375" s="23" t="n"/>
      <c r="Q375" s="18" t="n"/>
      <c r="R375" s="18" t="n"/>
      <c r="S375" s="18" t="n"/>
      <c r="T375" s="24">
        <f>IF(E375="","",E375-TODAY())</f>
        <v/>
      </c>
      <c r="U375" s="24">
        <f>IF(OR(M375="Paid",M375="Cancelled",E375=""),"",IF(E375&lt;TODAY(),"OVERDUE",IF(E375&lt;=TODAY()+'Setup &amp; Lists'!$M$7,"DUE SOON","")))</f>
        <v/>
      </c>
    </row>
    <row r="376">
      <c r="A376" s="18" t="n"/>
      <c r="B376" s="19" t="n"/>
      <c r="C376" s="19" t="n"/>
      <c r="D376" s="19" t="n"/>
      <c r="E376" s="20" t="n"/>
      <c r="F376" s="19" t="n"/>
      <c r="G376" s="19" t="n"/>
      <c r="H376" s="19" t="n"/>
      <c r="I376" s="21" t="n"/>
      <c r="J376" s="19" t="n"/>
      <c r="K376" s="21" t="n"/>
      <c r="L376" s="22">
        <f>IF(I376="","",MAX(0,I376-K376))</f>
        <v/>
      </c>
      <c r="M376" s="19" t="n"/>
      <c r="N376" s="18" t="n"/>
      <c r="O376" s="18" t="n"/>
      <c r="P376" s="23" t="n"/>
      <c r="Q376" s="18" t="n"/>
      <c r="R376" s="18" t="n"/>
      <c r="S376" s="18" t="n"/>
      <c r="T376" s="24">
        <f>IF(E376="","",E376-TODAY())</f>
        <v/>
      </c>
      <c r="U376" s="24">
        <f>IF(OR(M376="Paid",M376="Cancelled",E376=""),"",IF(E376&lt;TODAY(),"OVERDUE",IF(E376&lt;=TODAY()+'Setup &amp; Lists'!$M$7,"DUE SOON","")))</f>
        <v/>
      </c>
    </row>
    <row r="377">
      <c r="A377" s="18" t="n"/>
      <c r="B377" s="19" t="n"/>
      <c r="C377" s="19" t="n"/>
      <c r="D377" s="19" t="n"/>
      <c r="E377" s="20" t="n"/>
      <c r="F377" s="19" t="n"/>
      <c r="G377" s="19" t="n"/>
      <c r="H377" s="19" t="n"/>
      <c r="I377" s="21" t="n"/>
      <c r="J377" s="19" t="n"/>
      <c r="K377" s="21" t="n"/>
      <c r="L377" s="22">
        <f>IF(I377="","",MAX(0,I377-K377))</f>
        <v/>
      </c>
      <c r="M377" s="19" t="n"/>
      <c r="N377" s="18" t="n"/>
      <c r="O377" s="18" t="n"/>
      <c r="P377" s="23" t="n"/>
      <c r="Q377" s="18" t="n"/>
      <c r="R377" s="18" t="n"/>
      <c r="S377" s="18" t="n"/>
      <c r="T377" s="24">
        <f>IF(E377="","",E377-TODAY())</f>
        <v/>
      </c>
      <c r="U377" s="24">
        <f>IF(OR(M377="Paid",M377="Cancelled",E377=""),"",IF(E377&lt;TODAY(),"OVERDUE",IF(E377&lt;=TODAY()+'Setup &amp; Lists'!$M$7,"DUE SOON","")))</f>
        <v/>
      </c>
    </row>
    <row r="378">
      <c r="A378" s="18" t="n"/>
      <c r="B378" s="19" t="n"/>
      <c r="C378" s="19" t="n"/>
      <c r="D378" s="19" t="n"/>
      <c r="E378" s="20" t="n"/>
      <c r="F378" s="19" t="n"/>
      <c r="G378" s="19" t="n"/>
      <c r="H378" s="19" t="n"/>
      <c r="I378" s="21" t="n"/>
      <c r="J378" s="19" t="n"/>
      <c r="K378" s="21" t="n"/>
      <c r="L378" s="22">
        <f>IF(I378="","",MAX(0,I378-K378))</f>
        <v/>
      </c>
      <c r="M378" s="19" t="n"/>
      <c r="N378" s="18" t="n"/>
      <c r="O378" s="18" t="n"/>
      <c r="P378" s="23" t="n"/>
      <c r="Q378" s="18" t="n"/>
      <c r="R378" s="18" t="n"/>
      <c r="S378" s="18" t="n"/>
      <c r="T378" s="24">
        <f>IF(E378="","",E378-TODAY())</f>
        <v/>
      </c>
      <c r="U378" s="24">
        <f>IF(OR(M378="Paid",M378="Cancelled",E378=""),"",IF(E378&lt;TODAY(),"OVERDUE",IF(E378&lt;=TODAY()+'Setup &amp; Lists'!$M$7,"DUE SOON","")))</f>
        <v/>
      </c>
    </row>
    <row r="379">
      <c r="A379" s="18" t="n"/>
      <c r="B379" s="19" t="n"/>
      <c r="C379" s="19" t="n"/>
      <c r="D379" s="19" t="n"/>
      <c r="E379" s="20" t="n"/>
      <c r="F379" s="19" t="n"/>
      <c r="G379" s="19" t="n"/>
      <c r="H379" s="19" t="n"/>
      <c r="I379" s="21" t="n"/>
      <c r="J379" s="19" t="n"/>
      <c r="K379" s="21" t="n"/>
      <c r="L379" s="22">
        <f>IF(I379="","",MAX(0,I379-K379))</f>
        <v/>
      </c>
      <c r="M379" s="19" t="n"/>
      <c r="N379" s="18" t="n"/>
      <c r="O379" s="18" t="n"/>
      <c r="P379" s="23" t="n"/>
      <c r="Q379" s="18" t="n"/>
      <c r="R379" s="18" t="n"/>
      <c r="S379" s="18" t="n"/>
      <c r="T379" s="24">
        <f>IF(E379="","",E379-TODAY())</f>
        <v/>
      </c>
      <c r="U379" s="24">
        <f>IF(OR(M379="Paid",M379="Cancelled",E379=""),"",IF(E379&lt;TODAY(),"OVERDUE",IF(E379&lt;=TODAY()+'Setup &amp; Lists'!$M$7,"DUE SOON","")))</f>
        <v/>
      </c>
    </row>
    <row r="380">
      <c r="A380" s="18" t="n"/>
      <c r="B380" s="19" t="n"/>
      <c r="C380" s="19" t="n"/>
      <c r="D380" s="19" t="n"/>
      <c r="E380" s="20" t="n"/>
      <c r="F380" s="19" t="n"/>
      <c r="G380" s="19" t="n"/>
      <c r="H380" s="19" t="n"/>
      <c r="I380" s="21" t="n"/>
      <c r="J380" s="19" t="n"/>
      <c r="K380" s="21" t="n"/>
      <c r="L380" s="22">
        <f>IF(I380="","",MAX(0,I380-K380))</f>
        <v/>
      </c>
      <c r="M380" s="19" t="n"/>
      <c r="N380" s="18" t="n"/>
      <c r="O380" s="18" t="n"/>
      <c r="P380" s="23" t="n"/>
      <c r="Q380" s="18" t="n"/>
      <c r="R380" s="18" t="n"/>
      <c r="S380" s="18" t="n"/>
      <c r="T380" s="24">
        <f>IF(E380="","",E380-TODAY())</f>
        <v/>
      </c>
      <c r="U380" s="24">
        <f>IF(OR(M380="Paid",M380="Cancelled",E380=""),"",IF(E380&lt;TODAY(),"OVERDUE",IF(E380&lt;=TODAY()+'Setup &amp; Lists'!$M$7,"DUE SOON","")))</f>
        <v/>
      </c>
    </row>
    <row r="381">
      <c r="A381" s="18" t="n"/>
      <c r="B381" s="19" t="n"/>
      <c r="C381" s="19" t="n"/>
      <c r="D381" s="19" t="n"/>
      <c r="E381" s="20" t="n"/>
      <c r="F381" s="19" t="n"/>
      <c r="G381" s="19" t="n"/>
      <c r="H381" s="19" t="n"/>
      <c r="I381" s="21" t="n"/>
      <c r="J381" s="19" t="n"/>
      <c r="K381" s="21" t="n"/>
      <c r="L381" s="22">
        <f>IF(I381="","",MAX(0,I381-K381))</f>
        <v/>
      </c>
      <c r="M381" s="19" t="n"/>
      <c r="N381" s="18" t="n"/>
      <c r="O381" s="18" t="n"/>
      <c r="P381" s="23" t="n"/>
      <c r="Q381" s="18" t="n"/>
      <c r="R381" s="18" t="n"/>
      <c r="S381" s="18" t="n"/>
      <c r="T381" s="24">
        <f>IF(E381="","",E381-TODAY())</f>
        <v/>
      </c>
      <c r="U381" s="24">
        <f>IF(OR(M381="Paid",M381="Cancelled",E381=""),"",IF(E381&lt;TODAY(),"OVERDUE",IF(E381&lt;=TODAY()+'Setup &amp; Lists'!$M$7,"DUE SOON","")))</f>
        <v/>
      </c>
    </row>
    <row r="382">
      <c r="A382" s="18" t="n"/>
      <c r="B382" s="19" t="n"/>
      <c r="C382" s="19" t="n"/>
      <c r="D382" s="19" t="n"/>
      <c r="E382" s="20" t="n"/>
      <c r="F382" s="19" t="n"/>
      <c r="G382" s="19" t="n"/>
      <c r="H382" s="19" t="n"/>
      <c r="I382" s="21" t="n"/>
      <c r="J382" s="19" t="n"/>
      <c r="K382" s="21" t="n"/>
      <c r="L382" s="22">
        <f>IF(I382="","",MAX(0,I382-K382))</f>
        <v/>
      </c>
      <c r="M382" s="19" t="n"/>
      <c r="N382" s="18" t="n"/>
      <c r="O382" s="18" t="n"/>
      <c r="P382" s="23" t="n"/>
      <c r="Q382" s="18" t="n"/>
      <c r="R382" s="18" t="n"/>
      <c r="S382" s="18" t="n"/>
      <c r="T382" s="24">
        <f>IF(E382="","",E382-TODAY())</f>
        <v/>
      </c>
      <c r="U382" s="24">
        <f>IF(OR(M382="Paid",M382="Cancelled",E382=""),"",IF(E382&lt;TODAY(),"OVERDUE",IF(E382&lt;=TODAY()+'Setup &amp; Lists'!$M$7,"DUE SOON","")))</f>
        <v/>
      </c>
    </row>
    <row r="383">
      <c r="A383" s="18" t="n"/>
      <c r="B383" s="19" t="n"/>
      <c r="C383" s="19" t="n"/>
      <c r="D383" s="19" t="n"/>
      <c r="E383" s="20" t="n"/>
      <c r="F383" s="19" t="n"/>
      <c r="G383" s="19" t="n"/>
      <c r="H383" s="19" t="n"/>
      <c r="I383" s="21" t="n"/>
      <c r="J383" s="19" t="n"/>
      <c r="K383" s="21" t="n"/>
      <c r="L383" s="22">
        <f>IF(I383="","",MAX(0,I383-K383))</f>
        <v/>
      </c>
      <c r="M383" s="19" t="n"/>
      <c r="N383" s="18" t="n"/>
      <c r="O383" s="18" t="n"/>
      <c r="P383" s="23" t="n"/>
      <c r="Q383" s="18" t="n"/>
      <c r="R383" s="18" t="n"/>
      <c r="S383" s="18" t="n"/>
      <c r="T383" s="24">
        <f>IF(E383="","",E383-TODAY())</f>
        <v/>
      </c>
      <c r="U383" s="24">
        <f>IF(OR(M383="Paid",M383="Cancelled",E383=""),"",IF(E383&lt;TODAY(),"OVERDUE",IF(E383&lt;=TODAY()+'Setup &amp; Lists'!$M$7,"DUE SOON","")))</f>
        <v/>
      </c>
    </row>
    <row r="384">
      <c r="A384" s="18" t="n"/>
      <c r="B384" s="19" t="n"/>
      <c r="C384" s="19" t="n"/>
      <c r="D384" s="19" t="n"/>
      <c r="E384" s="20" t="n"/>
      <c r="F384" s="19" t="n"/>
      <c r="G384" s="19" t="n"/>
      <c r="H384" s="19" t="n"/>
      <c r="I384" s="21" t="n"/>
      <c r="J384" s="19" t="n"/>
      <c r="K384" s="21" t="n"/>
      <c r="L384" s="22">
        <f>IF(I384="","",MAX(0,I384-K384))</f>
        <v/>
      </c>
      <c r="M384" s="19" t="n"/>
      <c r="N384" s="18" t="n"/>
      <c r="O384" s="18" t="n"/>
      <c r="P384" s="23" t="n"/>
      <c r="Q384" s="18" t="n"/>
      <c r="R384" s="18" t="n"/>
      <c r="S384" s="18" t="n"/>
      <c r="T384" s="24">
        <f>IF(E384="","",E384-TODAY())</f>
        <v/>
      </c>
      <c r="U384" s="24">
        <f>IF(OR(M384="Paid",M384="Cancelled",E384=""),"",IF(E384&lt;TODAY(),"OVERDUE",IF(E384&lt;=TODAY()+'Setup &amp; Lists'!$M$7,"DUE SOON","")))</f>
        <v/>
      </c>
    </row>
    <row r="385">
      <c r="A385" s="18" t="n"/>
      <c r="B385" s="19" t="n"/>
      <c r="C385" s="19" t="n"/>
      <c r="D385" s="19" t="n"/>
      <c r="E385" s="20" t="n"/>
      <c r="F385" s="19" t="n"/>
      <c r="G385" s="19" t="n"/>
      <c r="H385" s="19" t="n"/>
      <c r="I385" s="21" t="n"/>
      <c r="J385" s="19" t="n"/>
      <c r="K385" s="21" t="n"/>
      <c r="L385" s="22">
        <f>IF(I385="","",MAX(0,I385-K385))</f>
        <v/>
      </c>
      <c r="M385" s="19" t="n"/>
      <c r="N385" s="18" t="n"/>
      <c r="O385" s="18" t="n"/>
      <c r="P385" s="23" t="n"/>
      <c r="Q385" s="18" t="n"/>
      <c r="R385" s="18" t="n"/>
      <c r="S385" s="18" t="n"/>
      <c r="T385" s="24">
        <f>IF(E385="","",E385-TODAY())</f>
        <v/>
      </c>
      <c r="U385" s="24">
        <f>IF(OR(M385="Paid",M385="Cancelled",E385=""),"",IF(E385&lt;TODAY(),"OVERDUE",IF(E385&lt;=TODAY()+'Setup &amp; Lists'!$M$7,"DUE SOON","")))</f>
        <v/>
      </c>
    </row>
    <row r="386">
      <c r="A386" s="18" t="n"/>
      <c r="B386" s="19" t="n"/>
      <c r="C386" s="19" t="n"/>
      <c r="D386" s="19" t="n"/>
      <c r="E386" s="20" t="n"/>
      <c r="F386" s="19" t="n"/>
      <c r="G386" s="19" t="n"/>
      <c r="H386" s="19" t="n"/>
      <c r="I386" s="21" t="n"/>
      <c r="J386" s="19" t="n"/>
      <c r="K386" s="21" t="n"/>
      <c r="L386" s="22">
        <f>IF(I386="","",MAX(0,I386-K386))</f>
        <v/>
      </c>
      <c r="M386" s="19" t="n"/>
      <c r="N386" s="18" t="n"/>
      <c r="O386" s="18" t="n"/>
      <c r="P386" s="23" t="n"/>
      <c r="Q386" s="18" t="n"/>
      <c r="R386" s="18" t="n"/>
      <c r="S386" s="18" t="n"/>
      <c r="T386" s="24">
        <f>IF(E386="","",E386-TODAY())</f>
        <v/>
      </c>
      <c r="U386" s="24">
        <f>IF(OR(M386="Paid",M386="Cancelled",E386=""),"",IF(E386&lt;TODAY(),"OVERDUE",IF(E386&lt;=TODAY()+'Setup &amp; Lists'!$M$7,"DUE SOON","")))</f>
        <v/>
      </c>
    </row>
    <row r="387">
      <c r="A387" s="18" t="n"/>
      <c r="B387" s="19" t="n"/>
      <c r="C387" s="19" t="n"/>
      <c r="D387" s="19" t="n"/>
      <c r="E387" s="20" t="n"/>
      <c r="F387" s="19" t="n"/>
      <c r="G387" s="19" t="n"/>
      <c r="H387" s="19" t="n"/>
      <c r="I387" s="21" t="n"/>
      <c r="J387" s="19" t="n"/>
      <c r="K387" s="21" t="n"/>
      <c r="L387" s="22">
        <f>IF(I387="","",MAX(0,I387-K387))</f>
        <v/>
      </c>
      <c r="M387" s="19" t="n"/>
      <c r="N387" s="18" t="n"/>
      <c r="O387" s="18" t="n"/>
      <c r="P387" s="23" t="n"/>
      <c r="Q387" s="18" t="n"/>
      <c r="R387" s="18" t="n"/>
      <c r="S387" s="18" t="n"/>
      <c r="T387" s="24">
        <f>IF(E387="","",E387-TODAY())</f>
        <v/>
      </c>
      <c r="U387" s="24">
        <f>IF(OR(M387="Paid",M387="Cancelled",E387=""),"",IF(E387&lt;TODAY(),"OVERDUE",IF(E387&lt;=TODAY()+'Setup &amp; Lists'!$M$7,"DUE SOON","")))</f>
        <v/>
      </c>
    </row>
    <row r="388">
      <c r="A388" s="18" t="n"/>
      <c r="B388" s="19" t="n"/>
      <c r="C388" s="19" t="n"/>
      <c r="D388" s="19" t="n"/>
      <c r="E388" s="20" t="n"/>
      <c r="F388" s="19" t="n"/>
      <c r="G388" s="19" t="n"/>
      <c r="H388" s="19" t="n"/>
      <c r="I388" s="21" t="n"/>
      <c r="J388" s="19" t="n"/>
      <c r="K388" s="21" t="n"/>
      <c r="L388" s="22">
        <f>IF(I388="","",MAX(0,I388-K388))</f>
        <v/>
      </c>
      <c r="M388" s="19" t="n"/>
      <c r="N388" s="18" t="n"/>
      <c r="O388" s="18" t="n"/>
      <c r="P388" s="23" t="n"/>
      <c r="Q388" s="18" t="n"/>
      <c r="R388" s="18" t="n"/>
      <c r="S388" s="18" t="n"/>
      <c r="T388" s="24">
        <f>IF(E388="","",E388-TODAY())</f>
        <v/>
      </c>
      <c r="U388" s="24">
        <f>IF(OR(M388="Paid",M388="Cancelled",E388=""),"",IF(E388&lt;TODAY(),"OVERDUE",IF(E388&lt;=TODAY()+'Setup &amp; Lists'!$M$7,"DUE SOON","")))</f>
        <v/>
      </c>
    </row>
    <row r="389">
      <c r="A389" s="18" t="n"/>
      <c r="B389" s="19" t="n"/>
      <c r="C389" s="19" t="n"/>
      <c r="D389" s="19" t="n"/>
      <c r="E389" s="20" t="n"/>
      <c r="F389" s="19" t="n"/>
      <c r="G389" s="19" t="n"/>
      <c r="H389" s="19" t="n"/>
      <c r="I389" s="21" t="n"/>
      <c r="J389" s="19" t="n"/>
      <c r="K389" s="21" t="n"/>
      <c r="L389" s="22">
        <f>IF(I389="","",MAX(0,I389-K389))</f>
        <v/>
      </c>
      <c r="M389" s="19" t="n"/>
      <c r="N389" s="18" t="n"/>
      <c r="O389" s="18" t="n"/>
      <c r="P389" s="23" t="n"/>
      <c r="Q389" s="18" t="n"/>
      <c r="R389" s="18" t="n"/>
      <c r="S389" s="18" t="n"/>
      <c r="T389" s="24">
        <f>IF(E389="","",E389-TODAY())</f>
        <v/>
      </c>
      <c r="U389" s="24">
        <f>IF(OR(M389="Paid",M389="Cancelled",E389=""),"",IF(E389&lt;TODAY(),"OVERDUE",IF(E389&lt;=TODAY()+'Setup &amp; Lists'!$M$7,"DUE SOON","")))</f>
        <v/>
      </c>
    </row>
    <row r="390">
      <c r="A390" s="18" t="n"/>
      <c r="B390" s="19" t="n"/>
      <c r="C390" s="19" t="n"/>
      <c r="D390" s="19" t="n"/>
      <c r="E390" s="20" t="n"/>
      <c r="F390" s="19" t="n"/>
      <c r="G390" s="19" t="n"/>
      <c r="H390" s="19" t="n"/>
      <c r="I390" s="21" t="n"/>
      <c r="J390" s="19" t="n"/>
      <c r="K390" s="21" t="n"/>
      <c r="L390" s="22">
        <f>IF(I390="","",MAX(0,I390-K390))</f>
        <v/>
      </c>
      <c r="M390" s="19" t="n"/>
      <c r="N390" s="18" t="n"/>
      <c r="O390" s="18" t="n"/>
      <c r="P390" s="23" t="n"/>
      <c r="Q390" s="18" t="n"/>
      <c r="R390" s="18" t="n"/>
      <c r="S390" s="18" t="n"/>
      <c r="T390" s="24">
        <f>IF(E390="","",E390-TODAY())</f>
        <v/>
      </c>
      <c r="U390" s="24">
        <f>IF(OR(M390="Paid",M390="Cancelled",E390=""),"",IF(E390&lt;TODAY(),"OVERDUE",IF(E390&lt;=TODAY()+'Setup &amp; Lists'!$M$7,"DUE SOON","")))</f>
        <v/>
      </c>
    </row>
    <row r="391">
      <c r="A391" s="18" t="n"/>
      <c r="B391" s="19" t="n"/>
      <c r="C391" s="19" t="n"/>
      <c r="D391" s="19" t="n"/>
      <c r="E391" s="20" t="n"/>
      <c r="F391" s="19" t="n"/>
      <c r="G391" s="19" t="n"/>
      <c r="H391" s="19" t="n"/>
      <c r="I391" s="21" t="n"/>
      <c r="J391" s="19" t="n"/>
      <c r="K391" s="21" t="n"/>
      <c r="L391" s="22">
        <f>IF(I391="","",MAX(0,I391-K391))</f>
        <v/>
      </c>
      <c r="M391" s="19" t="n"/>
      <c r="N391" s="18" t="n"/>
      <c r="O391" s="18" t="n"/>
      <c r="P391" s="23" t="n"/>
      <c r="Q391" s="18" t="n"/>
      <c r="R391" s="18" t="n"/>
      <c r="S391" s="18" t="n"/>
      <c r="T391" s="24">
        <f>IF(E391="","",E391-TODAY())</f>
        <v/>
      </c>
      <c r="U391" s="24">
        <f>IF(OR(M391="Paid",M391="Cancelled",E391=""),"",IF(E391&lt;TODAY(),"OVERDUE",IF(E391&lt;=TODAY()+'Setup &amp; Lists'!$M$7,"DUE SOON","")))</f>
        <v/>
      </c>
    </row>
    <row r="392">
      <c r="A392" s="18" t="n"/>
      <c r="B392" s="19" t="n"/>
      <c r="C392" s="19" t="n"/>
      <c r="D392" s="19" t="n"/>
      <c r="E392" s="20" t="n"/>
      <c r="F392" s="19" t="n"/>
      <c r="G392" s="19" t="n"/>
      <c r="H392" s="19" t="n"/>
      <c r="I392" s="21" t="n"/>
      <c r="J392" s="19" t="n"/>
      <c r="K392" s="21" t="n"/>
      <c r="L392" s="22">
        <f>IF(I392="","",MAX(0,I392-K392))</f>
        <v/>
      </c>
      <c r="M392" s="19" t="n"/>
      <c r="N392" s="18" t="n"/>
      <c r="O392" s="18" t="n"/>
      <c r="P392" s="23" t="n"/>
      <c r="Q392" s="18" t="n"/>
      <c r="R392" s="18" t="n"/>
      <c r="S392" s="18" t="n"/>
      <c r="T392" s="24">
        <f>IF(E392="","",E392-TODAY())</f>
        <v/>
      </c>
      <c r="U392" s="24">
        <f>IF(OR(M392="Paid",M392="Cancelled",E392=""),"",IF(E392&lt;TODAY(),"OVERDUE",IF(E392&lt;=TODAY()+'Setup &amp; Lists'!$M$7,"DUE SOON","")))</f>
        <v/>
      </c>
    </row>
    <row r="393">
      <c r="A393" s="18" t="n"/>
      <c r="B393" s="19" t="n"/>
      <c r="C393" s="19" t="n"/>
      <c r="D393" s="19" t="n"/>
      <c r="E393" s="20" t="n"/>
      <c r="F393" s="19" t="n"/>
      <c r="G393" s="19" t="n"/>
      <c r="H393" s="19" t="n"/>
      <c r="I393" s="21" t="n"/>
      <c r="J393" s="19" t="n"/>
      <c r="K393" s="21" t="n"/>
      <c r="L393" s="22">
        <f>IF(I393="","",MAX(0,I393-K393))</f>
        <v/>
      </c>
      <c r="M393" s="19" t="n"/>
      <c r="N393" s="18" t="n"/>
      <c r="O393" s="18" t="n"/>
      <c r="P393" s="23" t="n"/>
      <c r="Q393" s="18" t="n"/>
      <c r="R393" s="18" t="n"/>
      <c r="S393" s="18" t="n"/>
      <c r="T393" s="24">
        <f>IF(E393="","",E393-TODAY())</f>
        <v/>
      </c>
      <c r="U393" s="24">
        <f>IF(OR(M393="Paid",M393="Cancelled",E393=""),"",IF(E393&lt;TODAY(),"OVERDUE",IF(E393&lt;=TODAY()+'Setup &amp; Lists'!$M$7,"DUE SOON","")))</f>
        <v/>
      </c>
    </row>
    <row r="394">
      <c r="A394" s="18" t="n"/>
      <c r="B394" s="19" t="n"/>
      <c r="C394" s="19" t="n"/>
      <c r="D394" s="19" t="n"/>
      <c r="E394" s="20" t="n"/>
      <c r="F394" s="19" t="n"/>
      <c r="G394" s="19" t="n"/>
      <c r="H394" s="19" t="n"/>
      <c r="I394" s="21" t="n"/>
      <c r="J394" s="19" t="n"/>
      <c r="K394" s="21" t="n"/>
      <c r="L394" s="22">
        <f>IF(I394="","",MAX(0,I394-K394))</f>
        <v/>
      </c>
      <c r="M394" s="19" t="n"/>
      <c r="N394" s="18" t="n"/>
      <c r="O394" s="18" t="n"/>
      <c r="P394" s="23" t="n"/>
      <c r="Q394" s="18" t="n"/>
      <c r="R394" s="18" t="n"/>
      <c r="S394" s="18" t="n"/>
      <c r="T394" s="24">
        <f>IF(E394="","",E394-TODAY())</f>
        <v/>
      </c>
      <c r="U394" s="24">
        <f>IF(OR(M394="Paid",M394="Cancelled",E394=""),"",IF(E394&lt;TODAY(),"OVERDUE",IF(E394&lt;=TODAY()+'Setup &amp; Lists'!$M$7,"DUE SOON","")))</f>
        <v/>
      </c>
    </row>
    <row r="395">
      <c r="A395" s="18" t="n"/>
      <c r="B395" s="19" t="n"/>
      <c r="C395" s="19" t="n"/>
      <c r="D395" s="19" t="n"/>
      <c r="E395" s="20" t="n"/>
      <c r="F395" s="19" t="n"/>
      <c r="G395" s="19" t="n"/>
      <c r="H395" s="19" t="n"/>
      <c r="I395" s="21" t="n"/>
      <c r="J395" s="19" t="n"/>
      <c r="K395" s="21" t="n"/>
      <c r="L395" s="22">
        <f>IF(I395="","",MAX(0,I395-K395))</f>
        <v/>
      </c>
      <c r="M395" s="19" t="n"/>
      <c r="N395" s="18" t="n"/>
      <c r="O395" s="18" t="n"/>
      <c r="P395" s="23" t="n"/>
      <c r="Q395" s="18" t="n"/>
      <c r="R395" s="18" t="n"/>
      <c r="S395" s="18" t="n"/>
      <c r="T395" s="24">
        <f>IF(E395="","",E395-TODAY())</f>
        <v/>
      </c>
      <c r="U395" s="24">
        <f>IF(OR(M395="Paid",M395="Cancelled",E395=""),"",IF(E395&lt;TODAY(),"OVERDUE",IF(E395&lt;=TODAY()+'Setup &amp; Lists'!$M$7,"DUE SOON","")))</f>
        <v/>
      </c>
    </row>
    <row r="396">
      <c r="A396" s="18" t="n"/>
      <c r="B396" s="19" t="n"/>
      <c r="C396" s="19" t="n"/>
      <c r="D396" s="19" t="n"/>
      <c r="E396" s="20" t="n"/>
      <c r="F396" s="19" t="n"/>
      <c r="G396" s="19" t="n"/>
      <c r="H396" s="19" t="n"/>
      <c r="I396" s="21" t="n"/>
      <c r="J396" s="19" t="n"/>
      <c r="K396" s="21" t="n"/>
      <c r="L396" s="22">
        <f>IF(I396="","",MAX(0,I396-K396))</f>
        <v/>
      </c>
      <c r="M396" s="19" t="n"/>
      <c r="N396" s="18" t="n"/>
      <c r="O396" s="18" t="n"/>
      <c r="P396" s="23" t="n"/>
      <c r="Q396" s="18" t="n"/>
      <c r="R396" s="18" t="n"/>
      <c r="S396" s="18" t="n"/>
      <c r="T396" s="24">
        <f>IF(E396="","",E396-TODAY())</f>
        <v/>
      </c>
      <c r="U396" s="24">
        <f>IF(OR(M396="Paid",M396="Cancelled",E396=""),"",IF(E396&lt;TODAY(),"OVERDUE",IF(E396&lt;=TODAY()+'Setup &amp; Lists'!$M$7,"DUE SOON","")))</f>
        <v/>
      </c>
    </row>
    <row r="397">
      <c r="A397" s="18" t="n"/>
      <c r="B397" s="19" t="n"/>
      <c r="C397" s="19" t="n"/>
      <c r="D397" s="19" t="n"/>
      <c r="E397" s="20" t="n"/>
      <c r="F397" s="19" t="n"/>
      <c r="G397" s="19" t="n"/>
      <c r="H397" s="19" t="n"/>
      <c r="I397" s="21" t="n"/>
      <c r="J397" s="19" t="n"/>
      <c r="K397" s="21" t="n"/>
      <c r="L397" s="22">
        <f>IF(I397="","",MAX(0,I397-K397))</f>
        <v/>
      </c>
      <c r="M397" s="19" t="n"/>
      <c r="N397" s="18" t="n"/>
      <c r="O397" s="18" t="n"/>
      <c r="P397" s="23" t="n"/>
      <c r="Q397" s="18" t="n"/>
      <c r="R397" s="18" t="n"/>
      <c r="S397" s="18" t="n"/>
      <c r="T397" s="24">
        <f>IF(E397="","",E397-TODAY())</f>
        <v/>
      </c>
      <c r="U397" s="24">
        <f>IF(OR(M397="Paid",M397="Cancelled",E397=""),"",IF(E397&lt;TODAY(),"OVERDUE",IF(E397&lt;=TODAY()+'Setup &amp; Lists'!$M$7,"DUE SOON","")))</f>
        <v/>
      </c>
    </row>
    <row r="398">
      <c r="A398" s="18" t="n"/>
      <c r="B398" s="19" t="n"/>
      <c r="C398" s="19" t="n"/>
      <c r="D398" s="19" t="n"/>
      <c r="E398" s="20" t="n"/>
      <c r="F398" s="19" t="n"/>
      <c r="G398" s="19" t="n"/>
      <c r="H398" s="19" t="n"/>
      <c r="I398" s="21" t="n"/>
      <c r="J398" s="19" t="n"/>
      <c r="K398" s="21" t="n"/>
      <c r="L398" s="22">
        <f>IF(I398="","",MAX(0,I398-K398))</f>
        <v/>
      </c>
      <c r="M398" s="19" t="n"/>
      <c r="N398" s="18" t="n"/>
      <c r="O398" s="18" t="n"/>
      <c r="P398" s="23" t="n"/>
      <c r="Q398" s="18" t="n"/>
      <c r="R398" s="18" t="n"/>
      <c r="S398" s="18" t="n"/>
      <c r="T398" s="24">
        <f>IF(E398="","",E398-TODAY())</f>
        <v/>
      </c>
      <c r="U398" s="24">
        <f>IF(OR(M398="Paid",M398="Cancelled",E398=""),"",IF(E398&lt;TODAY(),"OVERDUE",IF(E398&lt;=TODAY()+'Setup &amp; Lists'!$M$7,"DUE SOON","")))</f>
        <v/>
      </c>
    </row>
    <row r="399">
      <c r="A399" s="18" t="n"/>
      <c r="B399" s="19" t="n"/>
      <c r="C399" s="19" t="n"/>
      <c r="D399" s="19" t="n"/>
      <c r="E399" s="20" t="n"/>
      <c r="F399" s="19" t="n"/>
      <c r="G399" s="19" t="n"/>
      <c r="H399" s="19" t="n"/>
      <c r="I399" s="21" t="n"/>
      <c r="J399" s="19" t="n"/>
      <c r="K399" s="21" t="n"/>
      <c r="L399" s="22">
        <f>IF(I399="","",MAX(0,I399-K399))</f>
        <v/>
      </c>
      <c r="M399" s="19" t="n"/>
      <c r="N399" s="18" t="n"/>
      <c r="O399" s="18" t="n"/>
      <c r="P399" s="23" t="n"/>
      <c r="Q399" s="18" t="n"/>
      <c r="R399" s="18" t="n"/>
      <c r="S399" s="18" t="n"/>
      <c r="T399" s="24">
        <f>IF(E399="","",E399-TODAY())</f>
        <v/>
      </c>
      <c r="U399" s="24">
        <f>IF(OR(M399="Paid",M399="Cancelled",E399=""),"",IF(E399&lt;TODAY(),"OVERDUE",IF(E399&lt;=TODAY()+'Setup &amp; Lists'!$M$7,"DUE SOON","")))</f>
        <v/>
      </c>
    </row>
    <row r="400">
      <c r="A400" s="18" t="n"/>
      <c r="B400" s="19" t="n"/>
      <c r="C400" s="19" t="n"/>
      <c r="D400" s="19" t="n"/>
      <c r="E400" s="20" t="n"/>
      <c r="F400" s="19" t="n"/>
      <c r="G400" s="19" t="n"/>
      <c r="H400" s="19" t="n"/>
      <c r="I400" s="21" t="n"/>
      <c r="J400" s="19" t="n"/>
      <c r="K400" s="21" t="n"/>
      <c r="L400" s="22">
        <f>IF(I400="","",MAX(0,I400-K400))</f>
        <v/>
      </c>
      <c r="M400" s="19" t="n"/>
      <c r="N400" s="18" t="n"/>
      <c r="O400" s="18" t="n"/>
      <c r="P400" s="23" t="n"/>
      <c r="Q400" s="18" t="n"/>
      <c r="R400" s="18" t="n"/>
      <c r="S400" s="18" t="n"/>
      <c r="T400" s="24">
        <f>IF(E400="","",E400-TODAY())</f>
        <v/>
      </c>
      <c r="U400" s="24">
        <f>IF(OR(M400="Paid",M400="Cancelled",E400=""),"",IF(E400&lt;TODAY(),"OVERDUE",IF(E400&lt;=TODAY()+'Setup &amp; Lists'!$M$7,"DUE SOON","")))</f>
        <v/>
      </c>
    </row>
    <row r="401">
      <c r="A401" s="18" t="n"/>
      <c r="B401" s="19" t="n"/>
      <c r="C401" s="19" t="n"/>
      <c r="D401" s="19" t="n"/>
      <c r="E401" s="20" t="n"/>
      <c r="F401" s="19" t="n"/>
      <c r="G401" s="19" t="n"/>
      <c r="H401" s="19" t="n"/>
      <c r="I401" s="21" t="n"/>
      <c r="J401" s="19" t="n"/>
      <c r="K401" s="21" t="n"/>
      <c r="L401" s="22">
        <f>IF(I401="","",MAX(0,I401-K401))</f>
        <v/>
      </c>
      <c r="M401" s="19" t="n"/>
      <c r="N401" s="18" t="n"/>
      <c r="O401" s="18" t="n"/>
      <c r="P401" s="23" t="n"/>
      <c r="Q401" s="18" t="n"/>
      <c r="R401" s="18" t="n"/>
      <c r="S401" s="18" t="n"/>
      <c r="T401" s="24">
        <f>IF(E401="","",E401-TODAY())</f>
        <v/>
      </c>
      <c r="U401" s="24">
        <f>IF(OR(M401="Paid",M401="Cancelled",E401=""),"",IF(E401&lt;TODAY(),"OVERDUE",IF(E401&lt;=TODAY()+'Setup &amp; Lists'!$M$7,"DUE SOON","")))</f>
        <v/>
      </c>
    </row>
    <row r="402">
      <c r="A402" s="18" t="n"/>
      <c r="B402" s="19" t="n"/>
      <c r="C402" s="19" t="n"/>
      <c r="D402" s="19" t="n"/>
      <c r="E402" s="20" t="n"/>
      <c r="F402" s="19" t="n"/>
      <c r="G402" s="19" t="n"/>
      <c r="H402" s="19" t="n"/>
      <c r="I402" s="21" t="n"/>
      <c r="J402" s="19" t="n"/>
      <c r="K402" s="21" t="n"/>
      <c r="L402" s="22">
        <f>IF(I402="","",MAX(0,I402-K402))</f>
        <v/>
      </c>
      <c r="M402" s="19" t="n"/>
      <c r="N402" s="18" t="n"/>
      <c r="O402" s="18" t="n"/>
      <c r="P402" s="23" t="n"/>
      <c r="Q402" s="18" t="n"/>
      <c r="R402" s="18" t="n"/>
      <c r="S402" s="18" t="n"/>
      <c r="T402" s="24">
        <f>IF(E402="","",E402-TODAY())</f>
        <v/>
      </c>
      <c r="U402" s="24">
        <f>IF(OR(M402="Paid",M402="Cancelled",E402=""),"",IF(E402&lt;TODAY(),"OVERDUE",IF(E402&lt;=TODAY()+'Setup &amp; Lists'!$M$7,"DUE SOON","")))</f>
        <v/>
      </c>
    </row>
    <row r="403">
      <c r="A403" s="18" t="n"/>
      <c r="B403" s="19" t="n"/>
      <c r="C403" s="19" t="n"/>
      <c r="D403" s="19" t="n"/>
      <c r="E403" s="20" t="n"/>
      <c r="F403" s="19" t="n"/>
      <c r="G403" s="19" t="n"/>
      <c r="H403" s="19" t="n"/>
      <c r="I403" s="21" t="n"/>
      <c r="J403" s="19" t="n"/>
      <c r="K403" s="21" t="n"/>
      <c r="L403" s="22">
        <f>IF(I403="","",MAX(0,I403-K403))</f>
        <v/>
      </c>
      <c r="M403" s="19" t="n"/>
      <c r="N403" s="18" t="n"/>
      <c r="O403" s="18" t="n"/>
      <c r="P403" s="23" t="n"/>
      <c r="Q403" s="18" t="n"/>
      <c r="R403" s="18" t="n"/>
      <c r="S403" s="18" t="n"/>
      <c r="T403" s="24">
        <f>IF(E403="","",E403-TODAY())</f>
        <v/>
      </c>
      <c r="U403" s="24">
        <f>IF(OR(M403="Paid",M403="Cancelled",E403=""),"",IF(E403&lt;TODAY(),"OVERDUE",IF(E403&lt;=TODAY()+'Setup &amp; Lists'!$M$7,"DUE SOON","")))</f>
        <v/>
      </c>
    </row>
    <row r="404">
      <c r="A404" s="18" t="n"/>
      <c r="B404" s="19" t="n"/>
      <c r="C404" s="19" t="n"/>
      <c r="D404" s="19" t="n"/>
      <c r="E404" s="20" t="n"/>
      <c r="F404" s="19" t="n"/>
      <c r="G404" s="19" t="n"/>
      <c r="H404" s="19" t="n"/>
      <c r="I404" s="21" t="n"/>
      <c r="J404" s="19" t="n"/>
      <c r="K404" s="21" t="n"/>
      <c r="L404" s="22">
        <f>IF(I404="","",MAX(0,I404-K404))</f>
        <v/>
      </c>
      <c r="M404" s="19" t="n"/>
      <c r="N404" s="18" t="n"/>
      <c r="O404" s="18" t="n"/>
      <c r="P404" s="23" t="n"/>
      <c r="Q404" s="18" t="n"/>
      <c r="R404" s="18" t="n"/>
      <c r="S404" s="18" t="n"/>
      <c r="T404" s="24">
        <f>IF(E404="","",E404-TODAY())</f>
        <v/>
      </c>
      <c r="U404" s="24">
        <f>IF(OR(M404="Paid",M404="Cancelled",E404=""),"",IF(E404&lt;TODAY(),"OVERDUE",IF(E404&lt;=TODAY()+'Setup &amp; Lists'!$M$7,"DUE SOON","")))</f>
        <v/>
      </c>
    </row>
    <row r="405">
      <c r="A405" s="18" t="n"/>
      <c r="B405" s="19" t="n"/>
      <c r="C405" s="19" t="n"/>
      <c r="D405" s="19" t="n"/>
      <c r="E405" s="20" t="n"/>
      <c r="F405" s="19" t="n"/>
      <c r="G405" s="19" t="n"/>
      <c r="H405" s="19" t="n"/>
      <c r="I405" s="21" t="n"/>
      <c r="J405" s="19" t="n"/>
      <c r="K405" s="21" t="n"/>
      <c r="L405" s="22">
        <f>IF(I405="","",MAX(0,I405-K405))</f>
        <v/>
      </c>
      <c r="M405" s="19" t="n"/>
      <c r="N405" s="18" t="n"/>
      <c r="O405" s="18" t="n"/>
      <c r="P405" s="23" t="n"/>
      <c r="Q405" s="18" t="n"/>
      <c r="R405" s="18" t="n"/>
      <c r="S405" s="18" t="n"/>
      <c r="T405" s="24">
        <f>IF(E405="","",E405-TODAY())</f>
        <v/>
      </c>
      <c r="U405" s="24">
        <f>IF(OR(M405="Paid",M405="Cancelled",E405=""),"",IF(E405&lt;TODAY(),"OVERDUE",IF(E405&lt;=TODAY()+'Setup &amp; Lists'!$M$7,"DUE SOON","")))</f>
        <v/>
      </c>
    </row>
    <row r="406">
      <c r="A406" s="18" t="n"/>
      <c r="B406" s="19" t="n"/>
      <c r="C406" s="19" t="n"/>
      <c r="D406" s="19" t="n"/>
      <c r="E406" s="20" t="n"/>
      <c r="F406" s="19" t="n"/>
      <c r="G406" s="19" t="n"/>
      <c r="H406" s="19" t="n"/>
      <c r="I406" s="21" t="n"/>
      <c r="J406" s="19" t="n"/>
      <c r="K406" s="21" t="n"/>
      <c r="L406" s="22">
        <f>IF(I406="","",MAX(0,I406-K406))</f>
        <v/>
      </c>
      <c r="M406" s="19" t="n"/>
      <c r="N406" s="18" t="n"/>
      <c r="O406" s="18" t="n"/>
      <c r="P406" s="23" t="n"/>
      <c r="Q406" s="18" t="n"/>
      <c r="R406" s="18" t="n"/>
      <c r="S406" s="18" t="n"/>
      <c r="T406" s="24">
        <f>IF(E406="","",E406-TODAY())</f>
        <v/>
      </c>
      <c r="U406" s="24">
        <f>IF(OR(M406="Paid",M406="Cancelled",E406=""),"",IF(E406&lt;TODAY(),"OVERDUE",IF(E406&lt;=TODAY()+'Setup &amp; Lists'!$M$7,"DUE SOON","")))</f>
        <v/>
      </c>
    </row>
    <row r="407">
      <c r="A407" s="18" t="n"/>
      <c r="B407" s="19" t="n"/>
      <c r="C407" s="19" t="n"/>
      <c r="D407" s="19" t="n"/>
      <c r="E407" s="20" t="n"/>
      <c r="F407" s="19" t="n"/>
      <c r="G407" s="19" t="n"/>
      <c r="H407" s="19" t="n"/>
      <c r="I407" s="21" t="n"/>
      <c r="J407" s="19" t="n"/>
      <c r="K407" s="21" t="n"/>
      <c r="L407" s="22">
        <f>IF(I407="","",MAX(0,I407-K407))</f>
        <v/>
      </c>
      <c r="M407" s="19" t="n"/>
      <c r="N407" s="18" t="n"/>
      <c r="O407" s="18" t="n"/>
      <c r="P407" s="23" t="n"/>
      <c r="Q407" s="18" t="n"/>
      <c r="R407" s="18" t="n"/>
      <c r="S407" s="18" t="n"/>
      <c r="T407" s="24">
        <f>IF(E407="","",E407-TODAY())</f>
        <v/>
      </c>
      <c r="U407" s="24">
        <f>IF(OR(M407="Paid",M407="Cancelled",E407=""),"",IF(E407&lt;TODAY(),"OVERDUE",IF(E407&lt;=TODAY()+'Setup &amp; Lists'!$M$7,"DUE SOON","")))</f>
        <v/>
      </c>
    </row>
    <row r="408">
      <c r="A408" s="18" t="n"/>
      <c r="B408" s="19" t="n"/>
      <c r="C408" s="19" t="n"/>
      <c r="D408" s="19" t="n"/>
      <c r="E408" s="20" t="n"/>
      <c r="F408" s="19" t="n"/>
      <c r="G408" s="19" t="n"/>
      <c r="H408" s="19" t="n"/>
      <c r="I408" s="21" t="n"/>
      <c r="J408" s="19" t="n"/>
      <c r="K408" s="21" t="n"/>
      <c r="L408" s="22">
        <f>IF(I408="","",MAX(0,I408-K408))</f>
        <v/>
      </c>
      <c r="M408" s="19" t="n"/>
      <c r="N408" s="18" t="n"/>
      <c r="O408" s="18" t="n"/>
      <c r="P408" s="23" t="n"/>
      <c r="Q408" s="18" t="n"/>
      <c r="R408" s="18" t="n"/>
      <c r="S408" s="18" t="n"/>
      <c r="T408" s="24">
        <f>IF(E408="","",E408-TODAY())</f>
        <v/>
      </c>
      <c r="U408" s="24">
        <f>IF(OR(M408="Paid",M408="Cancelled",E408=""),"",IF(E408&lt;TODAY(),"OVERDUE",IF(E408&lt;=TODAY()+'Setup &amp; Lists'!$M$7,"DUE SOON","")))</f>
        <v/>
      </c>
    </row>
    <row r="409">
      <c r="A409" s="18" t="n"/>
      <c r="B409" s="19" t="n"/>
      <c r="C409" s="19" t="n"/>
      <c r="D409" s="19" t="n"/>
      <c r="E409" s="20" t="n"/>
      <c r="F409" s="19" t="n"/>
      <c r="G409" s="19" t="n"/>
      <c r="H409" s="19" t="n"/>
      <c r="I409" s="21" t="n"/>
      <c r="J409" s="19" t="n"/>
      <c r="K409" s="21" t="n"/>
      <c r="L409" s="22">
        <f>IF(I409="","",MAX(0,I409-K409))</f>
        <v/>
      </c>
      <c r="M409" s="19" t="n"/>
      <c r="N409" s="18" t="n"/>
      <c r="O409" s="18" t="n"/>
      <c r="P409" s="23" t="n"/>
      <c r="Q409" s="18" t="n"/>
      <c r="R409" s="18" t="n"/>
      <c r="S409" s="18" t="n"/>
      <c r="T409" s="24">
        <f>IF(E409="","",E409-TODAY())</f>
        <v/>
      </c>
      <c r="U409" s="24">
        <f>IF(OR(M409="Paid",M409="Cancelled",E409=""),"",IF(E409&lt;TODAY(),"OVERDUE",IF(E409&lt;=TODAY()+'Setup &amp; Lists'!$M$7,"DUE SOON","")))</f>
        <v/>
      </c>
    </row>
    <row r="410">
      <c r="A410" s="18" t="n"/>
      <c r="B410" s="19" t="n"/>
      <c r="C410" s="19" t="n"/>
      <c r="D410" s="19" t="n"/>
      <c r="E410" s="20" t="n"/>
      <c r="F410" s="19" t="n"/>
      <c r="G410" s="19" t="n"/>
      <c r="H410" s="19" t="n"/>
      <c r="I410" s="21" t="n"/>
      <c r="J410" s="19" t="n"/>
      <c r="K410" s="21" t="n"/>
      <c r="L410" s="22">
        <f>IF(I410="","",MAX(0,I410-K410))</f>
        <v/>
      </c>
      <c r="M410" s="19" t="n"/>
      <c r="N410" s="18" t="n"/>
      <c r="O410" s="18" t="n"/>
      <c r="P410" s="23" t="n"/>
      <c r="Q410" s="18" t="n"/>
      <c r="R410" s="18" t="n"/>
      <c r="S410" s="18" t="n"/>
      <c r="T410" s="24">
        <f>IF(E410="","",E410-TODAY())</f>
        <v/>
      </c>
      <c r="U410" s="24">
        <f>IF(OR(M410="Paid",M410="Cancelled",E410=""),"",IF(E410&lt;TODAY(),"OVERDUE",IF(E410&lt;=TODAY()+'Setup &amp; Lists'!$M$7,"DUE SOON","")))</f>
        <v/>
      </c>
    </row>
    <row r="411">
      <c r="A411" s="18" t="n"/>
      <c r="B411" s="19" t="n"/>
      <c r="C411" s="19" t="n"/>
      <c r="D411" s="19" t="n"/>
      <c r="E411" s="20" t="n"/>
      <c r="F411" s="19" t="n"/>
      <c r="G411" s="19" t="n"/>
      <c r="H411" s="19" t="n"/>
      <c r="I411" s="21" t="n"/>
      <c r="J411" s="19" t="n"/>
      <c r="K411" s="21" t="n"/>
      <c r="L411" s="22">
        <f>IF(I411="","",MAX(0,I411-K411))</f>
        <v/>
      </c>
      <c r="M411" s="19" t="n"/>
      <c r="N411" s="18" t="n"/>
      <c r="O411" s="18" t="n"/>
      <c r="P411" s="23" t="n"/>
      <c r="Q411" s="18" t="n"/>
      <c r="R411" s="18" t="n"/>
      <c r="S411" s="18" t="n"/>
      <c r="T411" s="24">
        <f>IF(E411="","",E411-TODAY())</f>
        <v/>
      </c>
      <c r="U411" s="24">
        <f>IF(OR(M411="Paid",M411="Cancelled",E411=""),"",IF(E411&lt;TODAY(),"OVERDUE",IF(E411&lt;=TODAY()+'Setup &amp; Lists'!$M$7,"DUE SOON","")))</f>
        <v/>
      </c>
    </row>
    <row r="412">
      <c r="A412" s="18" t="n"/>
      <c r="B412" s="19" t="n"/>
      <c r="C412" s="19" t="n"/>
      <c r="D412" s="19" t="n"/>
      <c r="E412" s="20" t="n"/>
      <c r="F412" s="19" t="n"/>
      <c r="G412" s="19" t="n"/>
      <c r="H412" s="19" t="n"/>
      <c r="I412" s="21" t="n"/>
      <c r="J412" s="19" t="n"/>
      <c r="K412" s="21" t="n"/>
      <c r="L412" s="22">
        <f>IF(I412="","",MAX(0,I412-K412))</f>
        <v/>
      </c>
      <c r="M412" s="19" t="n"/>
      <c r="N412" s="18" t="n"/>
      <c r="O412" s="18" t="n"/>
      <c r="P412" s="23" t="n"/>
      <c r="Q412" s="18" t="n"/>
      <c r="R412" s="18" t="n"/>
      <c r="S412" s="18" t="n"/>
      <c r="T412" s="24">
        <f>IF(E412="","",E412-TODAY())</f>
        <v/>
      </c>
      <c r="U412" s="24">
        <f>IF(OR(M412="Paid",M412="Cancelled",E412=""),"",IF(E412&lt;TODAY(),"OVERDUE",IF(E412&lt;=TODAY()+'Setup &amp; Lists'!$M$7,"DUE SOON","")))</f>
        <v/>
      </c>
    </row>
    <row r="413">
      <c r="A413" s="18" t="n"/>
      <c r="B413" s="19" t="n"/>
      <c r="C413" s="19" t="n"/>
      <c r="D413" s="19" t="n"/>
      <c r="E413" s="20" t="n"/>
      <c r="F413" s="19" t="n"/>
      <c r="G413" s="19" t="n"/>
      <c r="H413" s="19" t="n"/>
      <c r="I413" s="21" t="n"/>
      <c r="J413" s="19" t="n"/>
      <c r="K413" s="21" t="n"/>
      <c r="L413" s="22">
        <f>IF(I413="","",MAX(0,I413-K413))</f>
        <v/>
      </c>
      <c r="M413" s="19" t="n"/>
      <c r="N413" s="18" t="n"/>
      <c r="O413" s="18" t="n"/>
      <c r="P413" s="23" t="n"/>
      <c r="Q413" s="18" t="n"/>
      <c r="R413" s="18" t="n"/>
      <c r="S413" s="18" t="n"/>
      <c r="T413" s="24">
        <f>IF(E413="","",E413-TODAY())</f>
        <v/>
      </c>
      <c r="U413" s="24">
        <f>IF(OR(M413="Paid",M413="Cancelled",E413=""),"",IF(E413&lt;TODAY(),"OVERDUE",IF(E413&lt;=TODAY()+'Setup &amp; Lists'!$M$7,"DUE SOON","")))</f>
        <v/>
      </c>
    </row>
    <row r="414">
      <c r="A414" s="18" t="n"/>
      <c r="B414" s="19" t="n"/>
      <c r="C414" s="19" t="n"/>
      <c r="D414" s="19" t="n"/>
      <c r="E414" s="20" t="n"/>
      <c r="F414" s="19" t="n"/>
      <c r="G414" s="19" t="n"/>
      <c r="H414" s="19" t="n"/>
      <c r="I414" s="21" t="n"/>
      <c r="J414" s="19" t="n"/>
      <c r="K414" s="21" t="n"/>
      <c r="L414" s="22">
        <f>IF(I414="","",MAX(0,I414-K414))</f>
        <v/>
      </c>
      <c r="M414" s="19" t="n"/>
      <c r="N414" s="18" t="n"/>
      <c r="O414" s="18" t="n"/>
      <c r="P414" s="23" t="n"/>
      <c r="Q414" s="18" t="n"/>
      <c r="R414" s="18" t="n"/>
      <c r="S414" s="18" t="n"/>
      <c r="T414" s="24">
        <f>IF(E414="","",E414-TODAY())</f>
        <v/>
      </c>
      <c r="U414" s="24">
        <f>IF(OR(M414="Paid",M414="Cancelled",E414=""),"",IF(E414&lt;TODAY(),"OVERDUE",IF(E414&lt;=TODAY()+'Setup &amp; Lists'!$M$7,"DUE SOON","")))</f>
        <v/>
      </c>
    </row>
    <row r="415">
      <c r="A415" s="18" t="n"/>
      <c r="B415" s="19" t="n"/>
      <c r="C415" s="19" t="n"/>
      <c r="D415" s="19" t="n"/>
      <c r="E415" s="20" t="n"/>
      <c r="F415" s="19" t="n"/>
      <c r="G415" s="19" t="n"/>
      <c r="H415" s="19" t="n"/>
      <c r="I415" s="21" t="n"/>
      <c r="J415" s="19" t="n"/>
      <c r="K415" s="21" t="n"/>
      <c r="L415" s="22">
        <f>IF(I415="","",MAX(0,I415-K415))</f>
        <v/>
      </c>
      <c r="M415" s="19" t="n"/>
      <c r="N415" s="18" t="n"/>
      <c r="O415" s="18" t="n"/>
      <c r="P415" s="23" t="n"/>
      <c r="Q415" s="18" t="n"/>
      <c r="R415" s="18" t="n"/>
      <c r="S415" s="18" t="n"/>
      <c r="T415" s="24">
        <f>IF(E415="","",E415-TODAY())</f>
        <v/>
      </c>
      <c r="U415" s="24">
        <f>IF(OR(M415="Paid",M415="Cancelled",E415=""),"",IF(E415&lt;TODAY(),"OVERDUE",IF(E415&lt;=TODAY()+'Setup &amp; Lists'!$M$7,"DUE SOON","")))</f>
        <v/>
      </c>
    </row>
    <row r="416">
      <c r="A416" s="18" t="n"/>
      <c r="B416" s="19" t="n"/>
      <c r="C416" s="19" t="n"/>
      <c r="D416" s="19" t="n"/>
      <c r="E416" s="20" t="n"/>
      <c r="F416" s="19" t="n"/>
      <c r="G416" s="19" t="n"/>
      <c r="H416" s="19" t="n"/>
      <c r="I416" s="21" t="n"/>
      <c r="J416" s="19" t="n"/>
      <c r="K416" s="21" t="n"/>
      <c r="L416" s="22">
        <f>IF(I416="","",MAX(0,I416-K416))</f>
        <v/>
      </c>
      <c r="M416" s="19" t="n"/>
      <c r="N416" s="18" t="n"/>
      <c r="O416" s="18" t="n"/>
      <c r="P416" s="23" t="n"/>
      <c r="Q416" s="18" t="n"/>
      <c r="R416" s="18" t="n"/>
      <c r="S416" s="18" t="n"/>
      <c r="T416" s="24">
        <f>IF(E416="","",E416-TODAY())</f>
        <v/>
      </c>
      <c r="U416" s="24">
        <f>IF(OR(M416="Paid",M416="Cancelled",E416=""),"",IF(E416&lt;TODAY(),"OVERDUE",IF(E416&lt;=TODAY()+'Setup &amp; Lists'!$M$7,"DUE SOON","")))</f>
        <v/>
      </c>
    </row>
    <row r="417">
      <c r="A417" s="18" t="n"/>
      <c r="B417" s="19" t="n"/>
      <c r="C417" s="19" t="n"/>
      <c r="D417" s="19" t="n"/>
      <c r="E417" s="20" t="n"/>
      <c r="F417" s="19" t="n"/>
      <c r="G417" s="19" t="n"/>
      <c r="H417" s="19" t="n"/>
      <c r="I417" s="21" t="n"/>
      <c r="J417" s="19" t="n"/>
      <c r="K417" s="21" t="n"/>
      <c r="L417" s="22">
        <f>IF(I417="","",MAX(0,I417-K417))</f>
        <v/>
      </c>
      <c r="M417" s="19" t="n"/>
      <c r="N417" s="18" t="n"/>
      <c r="O417" s="18" t="n"/>
      <c r="P417" s="23" t="n"/>
      <c r="Q417" s="18" t="n"/>
      <c r="R417" s="18" t="n"/>
      <c r="S417" s="18" t="n"/>
      <c r="T417" s="24">
        <f>IF(E417="","",E417-TODAY())</f>
        <v/>
      </c>
      <c r="U417" s="24">
        <f>IF(OR(M417="Paid",M417="Cancelled",E417=""),"",IF(E417&lt;TODAY(),"OVERDUE",IF(E417&lt;=TODAY()+'Setup &amp; Lists'!$M$7,"DUE SOON","")))</f>
        <v/>
      </c>
    </row>
    <row r="418">
      <c r="A418" s="18" t="n"/>
      <c r="B418" s="19" t="n"/>
      <c r="C418" s="19" t="n"/>
      <c r="D418" s="19" t="n"/>
      <c r="E418" s="20" t="n"/>
      <c r="F418" s="19" t="n"/>
      <c r="G418" s="19" t="n"/>
      <c r="H418" s="19" t="n"/>
      <c r="I418" s="21" t="n"/>
      <c r="J418" s="19" t="n"/>
      <c r="K418" s="21" t="n"/>
      <c r="L418" s="22">
        <f>IF(I418="","",MAX(0,I418-K418))</f>
        <v/>
      </c>
      <c r="M418" s="19" t="n"/>
      <c r="N418" s="18" t="n"/>
      <c r="O418" s="18" t="n"/>
      <c r="P418" s="23" t="n"/>
      <c r="Q418" s="18" t="n"/>
      <c r="R418" s="18" t="n"/>
      <c r="S418" s="18" t="n"/>
      <c r="T418" s="24">
        <f>IF(E418="","",E418-TODAY())</f>
        <v/>
      </c>
      <c r="U418" s="24">
        <f>IF(OR(M418="Paid",M418="Cancelled",E418=""),"",IF(E418&lt;TODAY(),"OVERDUE",IF(E418&lt;=TODAY()+'Setup &amp; Lists'!$M$7,"DUE SOON","")))</f>
        <v/>
      </c>
    </row>
    <row r="419">
      <c r="A419" s="18" t="n"/>
      <c r="B419" s="19" t="n"/>
      <c r="C419" s="19" t="n"/>
      <c r="D419" s="19" t="n"/>
      <c r="E419" s="20" t="n"/>
      <c r="F419" s="19" t="n"/>
      <c r="G419" s="19" t="n"/>
      <c r="H419" s="19" t="n"/>
      <c r="I419" s="21" t="n"/>
      <c r="J419" s="19" t="n"/>
      <c r="K419" s="21" t="n"/>
      <c r="L419" s="22">
        <f>IF(I419="","",MAX(0,I419-K419))</f>
        <v/>
      </c>
      <c r="M419" s="19" t="n"/>
      <c r="N419" s="18" t="n"/>
      <c r="O419" s="18" t="n"/>
      <c r="P419" s="23" t="n"/>
      <c r="Q419" s="18" t="n"/>
      <c r="R419" s="18" t="n"/>
      <c r="S419" s="18" t="n"/>
      <c r="T419" s="24">
        <f>IF(E419="","",E419-TODAY())</f>
        <v/>
      </c>
      <c r="U419" s="24">
        <f>IF(OR(M419="Paid",M419="Cancelled",E419=""),"",IF(E419&lt;TODAY(),"OVERDUE",IF(E419&lt;=TODAY()+'Setup &amp; Lists'!$M$7,"DUE SOON","")))</f>
        <v/>
      </c>
    </row>
    <row r="420">
      <c r="A420" s="18" t="n"/>
      <c r="B420" s="19" t="n"/>
      <c r="C420" s="19" t="n"/>
      <c r="D420" s="19" t="n"/>
      <c r="E420" s="20" t="n"/>
      <c r="F420" s="19" t="n"/>
      <c r="G420" s="19" t="n"/>
      <c r="H420" s="19" t="n"/>
      <c r="I420" s="21" t="n"/>
      <c r="J420" s="19" t="n"/>
      <c r="K420" s="21" t="n"/>
      <c r="L420" s="22">
        <f>IF(I420="","",MAX(0,I420-K420))</f>
        <v/>
      </c>
      <c r="M420" s="19" t="n"/>
      <c r="N420" s="18" t="n"/>
      <c r="O420" s="18" t="n"/>
      <c r="P420" s="23" t="n"/>
      <c r="Q420" s="18" t="n"/>
      <c r="R420" s="18" t="n"/>
      <c r="S420" s="18" t="n"/>
      <c r="T420" s="24">
        <f>IF(E420="","",E420-TODAY())</f>
        <v/>
      </c>
      <c r="U420" s="24">
        <f>IF(OR(M420="Paid",M420="Cancelled",E420=""),"",IF(E420&lt;TODAY(),"OVERDUE",IF(E420&lt;=TODAY()+'Setup &amp; Lists'!$M$7,"DUE SOON","")))</f>
        <v/>
      </c>
    </row>
    <row r="421">
      <c r="A421" s="18" t="n"/>
      <c r="B421" s="19" t="n"/>
      <c r="C421" s="19" t="n"/>
      <c r="D421" s="19" t="n"/>
      <c r="E421" s="20" t="n"/>
      <c r="F421" s="19" t="n"/>
      <c r="G421" s="19" t="n"/>
      <c r="H421" s="19" t="n"/>
      <c r="I421" s="21" t="n"/>
      <c r="J421" s="19" t="n"/>
      <c r="K421" s="21" t="n"/>
      <c r="L421" s="22">
        <f>IF(I421="","",MAX(0,I421-K421))</f>
        <v/>
      </c>
      <c r="M421" s="19" t="n"/>
      <c r="N421" s="18" t="n"/>
      <c r="O421" s="18" t="n"/>
      <c r="P421" s="23" t="n"/>
      <c r="Q421" s="18" t="n"/>
      <c r="R421" s="18" t="n"/>
      <c r="S421" s="18" t="n"/>
      <c r="T421" s="24">
        <f>IF(E421="","",E421-TODAY())</f>
        <v/>
      </c>
      <c r="U421" s="24">
        <f>IF(OR(M421="Paid",M421="Cancelled",E421=""),"",IF(E421&lt;TODAY(),"OVERDUE",IF(E421&lt;=TODAY()+'Setup &amp; Lists'!$M$7,"DUE SOON","")))</f>
        <v/>
      </c>
    </row>
    <row r="422">
      <c r="A422" s="18" t="n"/>
      <c r="B422" s="19" t="n"/>
      <c r="C422" s="19" t="n"/>
      <c r="D422" s="19" t="n"/>
      <c r="E422" s="20" t="n"/>
      <c r="F422" s="19" t="n"/>
      <c r="G422" s="19" t="n"/>
      <c r="H422" s="19" t="n"/>
      <c r="I422" s="21" t="n"/>
      <c r="J422" s="19" t="n"/>
      <c r="K422" s="21" t="n"/>
      <c r="L422" s="22">
        <f>IF(I422="","",MAX(0,I422-K422))</f>
        <v/>
      </c>
      <c r="M422" s="19" t="n"/>
      <c r="N422" s="18" t="n"/>
      <c r="O422" s="18" t="n"/>
      <c r="P422" s="23" t="n"/>
      <c r="Q422" s="18" t="n"/>
      <c r="R422" s="18" t="n"/>
      <c r="S422" s="18" t="n"/>
      <c r="T422" s="24">
        <f>IF(E422="","",E422-TODAY())</f>
        <v/>
      </c>
      <c r="U422" s="24">
        <f>IF(OR(M422="Paid",M422="Cancelled",E422=""),"",IF(E422&lt;TODAY(),"OVERDUE",IF(E422&lt;=TODAY()+'Setup &amp; Lists'!$M$7,"DUE SOON","")))</f>
        <v/>
      </c>
    </row>
    <row r="423">
      <c r="A423" s="18" t="n"/>
      <c r="B423" s="19" t="n"/>
      <c r="C423" s="19" t="n"/>
      <c r="D423" s="19" t="n"/>
      <c r="E423" s="20" t="n"/>
      <c r="F423" s="19" t="n"/>
      <c r="G423" s="19" t="n"/>
      <c r="H423" s="19" t="n"/>
      <c r="I423" s="21" t="n"/>
      <c r="J423" s="19" t="n"/>
      <c r="K423" s="21" t="n"/>
      <c r="L423" s="22">
        <f>IF(I423="","",MAX(0,I423-K423))</f>
        <v/>
      </c>
      <c r="M423" s="19" t="n"/>
      <c r="N423" s="18" t="n"/>
      <c r="O423" s="18" t="n"/>
      <c r="P423" s="23" t="n"/>
      <c r="Q423" s="18" t="n"/>
      <c r="R423" s="18" t="n"/>
      <c r="S423" s="18" t="n"/>
      <c r="T423" s="24">
        <f>IF(E423="","",E423-TODAY())</f>
        <v/>
      </c>
      <c r="U423" s="24">
        <f>IF(OR(M423="Paid",M423="Cancelled",E423=""),"",IF(E423&lt;TODAY(),"OVERDUE",IF(E423&lt;=TODAY()+'Setup &amp; Lists'!$M$7,"DUE SOON","")))</f>
        <v/>
      </c>
    </row>
    <row r="424">
      <c r="A424" s="18" t="n"/>
      <c r="B424" s="19" t="n"/>
      <c r="C424" s="19" t="n"/>
      <c r="D424" s="19" t="n"/>
      <c r="E424" s="20" t="n"/>
      <c r="F424" s="19" t="n"/>
      <c r="G424" s="19" t="n"/>
      <c r="H424" s="19" t="n"/>
      <c r="I424" s="21" t="n"/>
      <c r="J424" s="19" t="n"/>
      <c r="K424" s="21" t="n"/>
      <c r="L424" s="22">
        <f>IF(I424="","",MAX(0,I424-K424))</f>
        <v/>
      </c>
      <c r="M424" s="19" t="n"/>
      <c r="N424" s="18" t="n"/>
      <c r="O424" s="18" t="n"/>
      <c r="P424" s="23" t="n"/>
      <c r="Q424" s="18" t="n"/>
      <c r="R424" s="18" t="n"/>
      <c r="S424" s="18" t="n"/>
      <c r="T424" s="24">
        <f>IF(E424="","",E424-TODAY())</f>
        <v/>
      </c>
      <c r="U424" s="24">
        <f>IF(OR(M424="Paid",M424="Cancelled",E424=""),"",IF(E424&lt;TODAY(),"OVERDUE",IF(E424&lt;=TODAY()+'Setup &amp; Lists'!$M$7,"DUE SOON","")))</f>
        <v/>
      </c>
    </row>
    <row r="425">
      <c r="A425" s="18" t="n"/>
      <c r="B425" s="19" t="n"/>
      <c r="C425" s="19" t="n"/>
      <c r="D425" s="19" t="n"/>
      <c r="E425" s="20" t="n"/>
      <c r="F425" s="19" t="n"/>
      <c r="G425" s="19" t="n"/>
      <c r="H425" s="19" t="n"/>
      <c r="I425" s="21" t="n"/>
      <c r="J425" s="19" t="n"/>
      <c r="K425" s="21" t="n"/>
      <c r="L425" s="22">
        <f>IF(I425="","",MAX(0,I425-K425))</f>
        <v/>
      </c>
      <c r="M425" s="19" t="n"/>
      <c r="N425" s="18" t="n"/>
      <c r="O425" s="18" t="n"/>
      <c r="P425" s="23" t="n"/>
      <c r="Q425" s="18" t="n"/>
      <c r="R425" s="18" t="n"/>
      <c r="S425" s="18" t="n"/>
      <c r="T425" s="24">
        <f>IF(E425="","",E425-TODAY())</f>
        <v/>
      </c>
      <c r="U425" s="24">
        <f>IF(OR(M425="Paid",M425="Cancelled",E425=""),"",IF(E425&lt;TODAY(),"OVERDUE",IF(E425&lt;=TODAY()+'Setup &amp; Lists'!$M$7,"DUE SOON","")))</f>
        <v/>
      </c>
    </row>
    <row r="426">
      <c r="A426" s="18" t="n"/>
      <c r="B426" s="19" t="n"/>
      <c r="C426" s="19" t="n"/>
      <c r="D426" s="19" t="n"/>
      <c r="E426" s="20" t="n"/>
      <c r="F426" s="19" t="n"/>
      <c r="G426" s="19" t="n"/>
      <c r="H426" s="19" t="n"/>
      <c r="I426" s="21" t="n"/>
      <c r="J426" s="19" t="n"/>
      <c r="K426" s="21" t="n"/>
      <c r="L426" s="22">
        <f>IF(I426="","",MAX(0,I426-K426))</f>
        <v/>
      </c>
      <c r="M426" s="19" t="n"/>
      <c r="N426" s="18" t="n"/>
      <c r="O426" s="18" t="n"/>
      <c r="P426" s="23" t="n"/>
      <c r="Q426" s="18" t="n"/>
      <c r="R426" s="18" t="n"/>
      <c r="S426" s="18" t="n"/>
      <c r="T426" s="24">
        <f>IF(E426="","",E426-TODAY())</f>
        <v/>
      </c>
      <c r="U426" s="24">
        <f>IF(OR(M426="Paid",M426="Cancelled",E426=""),"",IF(E426&lt;TODAY(),"OVERDUE",IF(E426&lt;=TODAY()+'Setup &amp; Lists'!$M$7,"DUE SOON","")))</f>
        <v/>
      </c>
    </row>
    <row r="427">
      <c r="A427" s="18" t="n"/>
      <c r="B427" s="19" t="n"/>
      <c r="C427" s="19" t="n"/>
      <c r="D427" s="19" t="n"/>
      <c r="E427" s="20" t="n"/>
      <c r="F427" s="19" t="n"/>
      <c r="G427" s="19" t="n"/>
      <c r="H427" s="19" t="n"/>
      <c r="I427" s="21" t="n"/>
      <c r="J427" s="19" t="n"/>
      <c r="K427" s="21" t="n"/>
      <c r="L427" s="22">
        <f>IF(I427="","",MAX(0,I427-K427))</f>
        <v/>
      </c>
      <c r="M427" s="19" t="n"/>
      <c r="N427" s="18" t="n"/>
      <c r="O427" s="18" t="n"/>
      <c r="P427" s="23" t="n"/>
      <c r="Q427" s="18" t="n"/>
      <c r="R427" s="18" t="n"/>
      <c r="S427" s="18" t="n"/>
      <c r="T427" s="24">
        <f>IF(E427="","",E427-TODAY())</f>
        <v/>
      </c>
      <c r="U427" s="24">
        <f>IF(OR(M427="Paid",M427="Cancelled",E427=""),"",IF(E427&lt;TODAY(),"OVERDUE",IF(E427&lt;=TODAY()+'Setup &amp; Lists'!$M$7,"DUE SOON","")))</f>
        <v/>
      </c>
    </row>
    <row r="428">
      <c r="A428" s="18" t="n"/>
      <c r="B428" s="19" t="n"/>
      <c r="C428" s="19" t="n"/>
      <c r="D428" s="19" t="n"/>
      <c r="E428" s="20" t="n"/>
      <c r="F428" s="19" t="n"/>
      <c r="G428" s="19" t="n"/>
      <c r="H428" s="19" t="n"/>
      <c r="I428" s="21" t="n"/>
      <c r="J428" s="19" t="n"/>
      <c r="K428" s="21" t="n"/>
      <c r="L428" s="22">
        <f>IF(I428="","",MAX(0,I428-K428))</f>
        <v/>
      </c>
      <c r="M428" s="19" t="n"/>
      <c r="N428" s="18" t="n"/>
      <c r="O428" s="18" t="n"/>
      <c r="P428" s="23" t="n"/>
      <c r="Q428" s="18" t="n"/>
      <c r="R428" s="18" t="n"/>
      <c r="S428" s="18" t="n"/>
      <c r="T428" s="24">
        <f>IF(E428="","",E428-TODAY())</f>
        <v/>
      </c>
      <c r="U428" s="24">
        <f>IF(OR(M428="Paid",M428="Cancelled",E428=""),"",IF(E428&lt;TODAY(),"OVERDUE",IF(E428&lt;=TODAY()+'Setup &amp; Lists'!$M$7,"DUE SOON","")))</f>
        <v/>
      </c>
    </row>
    <row r="429">
      <c r="A429" s="18" t="n"/>
      <c r="B429" s="19" t="n"/>
      <c r="C429" s="19" t="n"/>
      <c r="D429" s="19" t="n"/>
      <c r="E429" s="20" t="n"/>
      <c r="F429" s="19" t="n"/>
      <c r="G429" s="19" t="n"/>
      <c r="H429" s="19" t="n"/>
      <c r="I429" s="21" t="n"/>
      <c r="J429" s="19" t="n"/>
      <c r="K429" s="21" t="n"/>
      <c r="L429" s="22">
        <f>IF(I429="","",MAX(0,I429-K429))</f>
        <v/>
      </c>
      <c r="M429" s="19" t="n"/>
      <c r="N429" s="18" t="n"/>
      <c r="O429" s="18" t="n"/>
      <c r="P429" s="23" t="n"/>
      <c r="Q429" s="18" t="n"/>
      <c r="R429" s="18" t="n"/>
      <c r="S429" s="18" t="n"/>
      <c r="T429" s="24">
        <f>IF(E429="","",E429-TODAY())</f>
        <v/>
      </c>
      <c r="U429" s="24">
        <f>IF(OR(M429="Paid",M429="Cancelled",E429=""),"",IF(E429&lt;TODAY(),"OVERDUE",IF(E429&lt;=TODAY()+'Setup &amp; Lists'!$M$7,"DUE SOON","")))</f>
        <v/>
      </c>
    </row>
    <row r="430">
      <c r="A430" s="18" t="n"/>
      <c r="B430" s="19" t="n"/>
      <c r="C430" s="19" t="n"/>
      <c r="D430" s="19" t="n"/>
      <c r="E430" s="20" t="n"/>
      <c r="F430" s="19" t="n"/>
      <c r="G430" s="19" t="n"/>
      <c r="H430" s="19" t="n"/>
      <c r="I430" s="21" t="n"/>
      <c r="J430" s="19" t="n"/>
      <c r="K430" s="21" t="n"/>
      <c r="L430" s="22">
        <f>IF(I430="","",MAX(0,I430-K430))</f>
        <v/>
      </c>
      <c r="M430" s="19" t="n"/>
      <c r="N430" s="18" t="n"/>
      <c r="O430" s="18" t="n"/>
      <c r="P430" s="23" t="n"/>
      <c r="Q430" s="18" t="n"/>
      <c r="R430" s="18" t="n"/>
      <c r="S430" s="18" t="n"/>
      <c r="T430" s="24">
        <f>IF(E430="","",E430-TODAY())</f>
        <v/>
      </c>
      <c r="U430" s="24">
        <f>IF(OR(M430="Paid",M430="Cancelled",E430=""),"",IF(E430&lt;TODAY(),"OVERDUE",IF(E430&lt;=TODAY()+'Setup &amp; Lists'!$M$7,"DUE SOON","")))</f>
        <v/>
      </c>
    </row>
    <row r="431">
      <c r="A431" s="18" t="n"/>
      <c r="B431" s="19" t="n"/>
      <c r="C431" s="19" t="n"/>
      <c r="D431" s="19" t="n"/>
      <c r="E431" s="20" t="n"/>
      <c r="F431" s="19" t="n"/>
      <c r="G431" s="19" t="n"/>
      <c r="H431" s="19" t="n"/>
      <c r="I431" s="21" t="n"/>
      <c r="J431" s="19" t="n"/>
      <c r="K431" s="21" t="n"/>
      <c r="L431" s="22">
        <f>IF(I431="","",MAX(0,I431-K431))</f>
        <v/>
      </c>
      <c r="M431" s="19" t="n"/>
      <c r="N431" s="18" t="n"/>
      <c r="O431" s="18" t="n"/>
      <c r="P431" s="23" t="n"/>
      <c r="Q431" s="18" t="n"/>
      <c r="R431" s="18" t="n"/>
      <c r="S431" s="18" t="n"/>
      <c r="T431" s="24">
        <f>IF(E431="","",E431-TODAY())</f>
        <v/>
      </c>
      <c r="U431" s="24">
        <f>IF(OR(M431="Paid",M431="Cancelled",E431=""),"",IF(E431&lt;TODAY(),"OVERDUE",IF(E431&lt;=TODAY()+'Setup &amp; Lists'!$M$7,"DUE SOON","")))</f>
        <v/>
      </c>
    </row>
    <row r="432">
      <c r="A432" s="18" t="n"/>
      <c r="B432" s="19" t="n"/>
      <c r="C432" s="19" t="n"/>
      <c r="D432" s="19" t="n"/>
      <c r="E432" s="20" t="n"/>
      <c r="F432" s="19" t="n"/>
      <c r="G432" s="19" t="n"/>
      <c r="H432" s="19" t="n"/>
      <c r="I432" s="21" t="n"/>
      <c r="J432" s="19" t="n"/>
      <c r="K432" s="21" t="n"/>
      <c r="L432" s="22">
        <f>IF(I432="","",MAX(0,I432-K432))</f>
        <v/>
      </c>
      <c r="M432" s="19" t="n"/>
      <c r="N432" s="18" t="n"/>
      <c r="O432" s="18" t="n"/>
      <c r="P432" s="23" t="n"/>
      <c r="Q432" s="18" t="n"/>
      <c r="R432" s="18" t="n"/>
      <c r="S432" s="18" t="n"/>
      <c r="T432" s="24">
        <f>IF(E432="","",E432-TODAY())</f>
        <v/>
      </c>
      <c r="U432" s="24">
        <f>IF(OR(M432="Paid",M432="Cancelled",E432=""),"",IF(E432&lt;TODAY(),"OVERDUE",IF(E432&lt;=TODAY()+'Setup &amp; Lists'!$M$7,"DUE SOON","")))</f>
        <v/>
      </c>
    </row>
    <row r="433">
      <c r="A433" s="18" t="n"/>
      <c r="B433" s="19" t="n"/>
      <c r="C433" s="19" t="n"/>
      <c r="D433" s="19" t="n"/>
      <c r="E433" s="20" t="n"/>
      <c r="F433" s="19" t="n"/>
      <c r="G433" s="19" t="n"/>
      <c r="H433" s="19" t="n"/>
      <c r="I433" s="21" t="n"/>
      <c r="J433" s="19" t="n"/>
      <c r="K433" s="21" t="n"/>
      <c r="L433" s="22">
        <f>IF(I433="","",MAX(0,I433-K433))</f>
        <v/>
      </c>
      <c r="M433" s="19" t="n"/>
      <c r="N433" s="18" t="n"/>
      <c r="O433" s="18" t="n"/>
      <c r="P433" s="23" t="n"/>
      <c r="Q433" s="18" t="n"/>
      <c r="R433" s="18" t="n"/>
      <c r="S433" s="18" t="n"/>
      <c r="T433" s="24">
        <f>IF(E433="","",E433-TODAY())</f>
        <v/>
      </c>
      <c r="U433" s="24">
        <f>IF(OR(M433="Paid",M433="Cancelled",E433=""),"",IF(E433&lt;TODAY(),"OVERDUE",IF(E433&lt;=TODAY()+'Setup &amp; Lists'!$M$7,"DUE SOON","")))</f>
        <v/>
      </c>
    </row>
    <row r="434">
      <c r="A434" s="18" t="n"/>
      <c r="B434" s="19" t="n"/>
      <c r="C434" s="19" t="n"/>
      <c r="D434" s="19" t="n"/>
      <c r="E434" s="20" t="n"/>
      <c r="F434" s="19" t="n"/>
      <c r="G434" s="19" t="n"/>
      <c r="H434" s="19" t="n"/>
      <c r="I434" s="21" t="n"/>
      <c r="J434" s="19" t="n"/>
      <c r="K434" s="21" t="n"/>
      <c r="L434" s="22">
        <f>IF(I434="","",MAX(0,I434-K434))</f>
        <v/>
      </c>
      <c r="M434" s="19" t="n"/>
      <c r="N434" s="18" t="n"/>
      <c r="O434" s="18" t="n"/>
      <c r="P434" s="23" t="n"/>
      <c r="Q434" s="18" t="n"/>
      <c r="R434" s="18" t="n"/>
      <c r="S434" s="18" t="n"/>
      <c r="T434" s="24">
        <f>IF(E434="","",E434-TODAY())</f>
        <v/>
      </c>
      <c r="U434" s="24">
        <f>IF(OR(M434="Paid",M434="Cancelled",E434=""),"",IF(E434&lt;TODAY(),"OVERDUE",IF(E434&lt;=TODAY()+'Setup &amp; Lists'!$M$7,"DUE SOON","")))</f>
        <v/>
      </c>
    </row>
    <row r="435">
      <c r="A435" s="18" t="n"/>
      <c r="B435" s="19" t="n"/>
      <c r="C435" s="19" t="n"/>
      <c r="D435" s="19" t="n"/>
      <c r="E435" s="20" t="n"/>
      <c r="F435" s="19" t="n"/>
      <c r="G435" s="19" t="n"/>
      <c r="H435" s="19" t="n"/>
      <c r="I435" s="21" t="n"/>
      <c r="J435" s="19" t="n"/>
      <c r="K435" s="21" t="n"/>
      <c r="L435" s="22">
        <f>IF(I435="","",MAX(0,I435-K435))</f>
        <v/>
      </c>
      <c r="M435" s="19" t="n"/>
      <c r="N435" s="18" t="n"/>
      <c r="O435" s="18" t="n"/>
      <c r="P435" s="23" t="n"/>
      <c r="Q435" s="18" t="n"/>
      <c r="R435" s="18" t="n"/>
      <c r="S435" s="18" t="n"/>
      <c r="T435" s="24">
        <f>IF(E435="","",E435-TODAY())</f>
        <v/>
      </c>
      <c r="U435" s="24">
        <f>IF(OR(M435="Paid",M435="Cancelled",E435=""),"",IF(E435&lt;TODAY(),"OVERDUE",IF(E435&lt;=TODAY()+'Setup &amp; Lists'!$M$7,"DUE SOON","")))</f>
        <v/>
      </c>
    </row>
    <row r="436">
      <c r="A436" s="18" t="n"/>
      <c r="B436" s="19" t="n"/>
      <c r="C436" s="19" t="n"/>
      <c r="D436" s="19" t="n"/>
      <c r="E436" s="20" t="n"/>
      <c r="F436" s="19" t="n"/>
      <c r="G436" s="19" t="n"/>
      <c r="H436" s="19" t="n"/>
      <c r="I436" s="21" t="n"/>
      <c r="J436" s="19" t="n"/>
      <c r="K436" s="21" t="n"/>
      <c r="L436" s="22">
        <f>IF(I436="","",MAX(0,I436-K436))</f>
        <v/>
      </c>
      <c r="M436" s="19" t="n"/>
      <c r="N436" s="18" t="n"/>
      <c r="O436" s="18" t="n"/>
      <c r="P436" s="23" t="n"/>
      <c r="Q436" s="18" t="n"/>
      <c r="R436" s="18" t="n"/>
      <c r="S436" s="18" t="n"/>
      <c r="T436" s="24">
        <f>IF(E436="","",E436-TODAY())</f>
        <v/>
      </c>
      <c r="U436" s="24">
        <f>IF(OR(M436="Paid",M436="Cancelled",E436=""),"",IF(E436&lt;TODAY(),"OVERDUE",IF(E436&lt;=TODAY()+'Setup &amp; Lists'!$M$7,"DUE SOON","")))</f>
        <v/>
      </c>
    </row>
    <row r="437">
      <c r="A437" s="18" t="n"/>
      <c r="B437" s="19" t="n"/>
      <c r="C437" s="19" t="n"/>
      <c r="D437" s="19" t="n"/>
      <c r="E437" s="20" t="n"/>
      <c r="F437" s="19" t="n"/>
      <c r="G437" s="19" t="n"/>
      <c r="H437" s="19" t="n"/>
      <c r="I437" s="21" t="n"/>
      <c r="J437" s="19" t="n"/>
      <c r="K437" s="21" t="n"/>
      <c r="L437" s="22">
        <f>IF(I437="","",MAX(0,I437-K437))</f>
        <v/>
      </c>
      <c r="M437" s="19" t="n"/>
      <c r="N437" s="18" t="n"/>
      <c r="O437" s="18" t="n"/>
      <c r="P437" s="23" t="n"/>
      <c r="Q437" s="18" t="n"/>
      <c r="R437" s="18" t="n"/>
      <c r="S437" s="18" t="n"/>
      <c r="T437" s="24">
        <f>IF(E437="","",E437-TODAY())</f>
        <v/>
      </c>
      <c r="U437" s="24">
        <f>IF(OR(M437="Paid",M437="Cancelled",E437=""),"",IF(E437&lt;TODAY(),"OVERDUE",IF(E437&lt;=TODAY()+'Setup &amp; Lists'!$M$7,"DUE SOON","")))</f>
        <v/>
      </c>
    </row>
    <row r="438">
      <c r="A438" s="18" t="n"/>
      <c r="B438" s="19" t="n"/>
      <c r="C438" s="19" t="n"/>
      <c r="D438" s="19" t="n"/>
      <c r="E438" s="20" t="n"/>
      <c r="F438" s="19" t="n"/>
      <c r="G438" s="19" t="n"/>
      <c r="H438" s="19" t="n"/>
      <c r="I438" s="21" t="n"/>
      <c r="J438" s="19" t="n"/>
      <c r="K438" s="21" t="n"/>
      <c r="L438" s="22">
        <f>IF(I438="","",MAX(0,I438-K438))</f>
        <v/>
      </c>
      <c r="M438" s="19" t="n"/>
      <c r="N438" s="18" t="n"/>
      <c r="O438" s="18" t="n"/>
      <c r="P438" s="23" t="n"/>
      <c r="Q438" s="18" t="n"/>
      <c r="R438" s="18" t="n"/>
      <c r="S438" s="18" t="n"/>
      <c r="T438" s="24">
        <f>IF(E438="","",E438-TODAY())</f>
        <v/>
      </c>
      <c r="U438" s="24">
        <f>IF(OR(M438="Paid",M438="Cancelled",E438=""),"",IF(E438&lt;TODAY(),"OVERDUE",IF(E438&lt;=TODAY()+'Setup &amp; Lists'!$M$7,"DUE SOON","")))</f>
        <v/>
      </c>
    </row>
    <row r="439">
      <c r="A439" s="18" t="n"/>
      <c r="B439" s="19" t="n"/>
      <c r="C439" s="19" t="n"/>
      <c r="D439" s="19" t="n"/>
      <c r="E439" s="20" t="n"/>
      <c r="F439" s="19" t="n"/>
      <c r="G439" s="19" t="n"/>
      <c r="H439" s="19" t="n"/>
      <c r="I439" s="21" t="n"/>
      <c r="J439" s="19" t="n"/>
      <c r="K439" s="21" t="n"/>
      <c r="L439" s="22">
        <f>IF(I439="","",MAX(0,I439-K439))</f>
        <v/>
      </c>
      <c r="M439" s="19" t="n"/>
      <c r="N439" s="18" t="n"/>
      <c r="O439" s="18" t="n"/>
      <c r="P439" s="23" t="n"/>
      <c r="Q439" s="18" t="n"/>
      <c r="R439" s="18" t="n"/>
      <c r="S439" s="18" t="n"/>
      <c r="T439" s="24">
        <f>IF(E439="","",E439-TODAY())</f>
        <v/>
      </c>
      <c r="U439" s="24">
        <f>IF(OR(M439="Paid",M439="Cancelled",E439=""),"",IF(E439&lt;TODAY(),"OVERDUE",IF(E439&lt;=TODAY()+'Setup &amp; Lists'!$M$7,"DUE SOON","")))</f>
        <v/>
      </c>
    </row>
    <row r="440">
      <c r="A440" s="18" t="n"/>
      <c r="B440" s="19" t="n"/>
      <c r="C440" s="19" t="n"/>
      <c r="D440" s="19" t="n"/>
      <c r="E440" s="20" t="n"/>
      <c r="F440" s="19" t="n"/>
      <c r="G440" s="19" t="n"/>
      <c r="H440" s="19" t="n"/>
      <c r="I440" s="21" t="n"/>
      <c r="J440" s="19" t="n"/>
      <c r="K440" s="21" t="n"/>
      <c r="L440" s="22">
        <f>IF(I440="","",MAX(0,I440-K440))</f>
        <v/>
      </c>
      <c r="M440" s="19" t="n"/>
      <c r="N440" s="18" t="n"/>
      <c r="O440" s="18" t="n"/>
      <c r="P440" s="23" t="n"/>
      <c r="Q440" s="18" t="n"/>
      <c r="R440" s="18" t="n"/>
      <c r="S440" s="18" t="n"/>
      <c r="T440" s="24">
        <f>IF(E440="","",E440-TODAY())</f>
        <v/>
      </c>
      <c r="U440" s="24">
        <f>IF(OR(M440="Paid",M440="Cancelled",E440=""),"",IF(E440&lt;TODAY(),"OVERDUE",IF(E440&lt;=TODAY()+'Setup &amp; Lists'!$M$7,"DUE SOON","")))</f>
        <v/>
      </c>
    </row>
    <row r="441">
      <c r="A441" s="18" t="n"/>
      <c r="B441" s="19" t="n"/>
      <c r="C441" s="19" t="n"/>
      <c r="D441" s="19" t="n"/>
      <c r="E441" s="20" t="n"/>
      <c r="F441" s="19" t="n"/>
      <c r="G441" s="19" t="n"/>
      <c r="H441" s="19" t="n"/>
      <c r="I441" s="21" t="n"/>
      <c r="J441" s="19" t="n"/>
      <c r="K441" s="21" t="n"/>
      <c r="L441" s="22">
        <f>IF(I441="","",MAX(0,I441-K441))</f>
        <v/>
      </c>
      <c r="M441" s="19" t="n"/>
      <c r="N441" s="18" t="n"/>
      <c r="O441" s="18" t="n"/>
      <c r="P441" s="23" t="n"/>
      <c r="Q441" s="18" t="n"/>
      <c r="R441" s="18" t="n"/>
      <c r="S441" s="18" t="n"/>
      <c r="T441" s="24">
        <f>IF(E441="","",E441-TODAY())</f>
        <v/>
      </c>
      <c r="U441" s="24">
        <f>IF(OR(M441="Paid",M441="Cancelled",E441=""),"",IF(E441&lt;TODAY(),"OVERDUE",IF(E441&lt;=TODAY()+'Setup &amp; Lists'!$M$7,"DUE SOON","")))</f>
        <v/>
      </c>
    </row>
    <row r="442">
      <c r="A442" s="18" t="n"/>
      <c r="B442" s="19" t="n"/>
      <c r="C442" s="19" t="n"/>
      <c r="D442" s="19" t="n"/>
      <c r="E442" s="20" t="n"/>
      <c r="F442" s="19" t="n"/>
      <c r="G442" s="19" t="n"/>
      <c r="H442" s="19" t="n"/>
      <c r="I442" s="21" t="n"/>
      <c r="J442" s="19" t="n"/>
      <c r="K442" s="21" t="n"/>
      <c r="L442" s="22">
        <f>IF(I442="","",MAX(0,I442-K442))</f>
        <v/>
      </c>
      <c r="M442" s="19" t="n"/>
      <c r="N442" s="18" t="n"/>
      <c r="O442" s="18" t="n"/>
      <c r="P442" s="23" t="n"/>
      <c r="Q442" s="18" t="n"/>
      <c r="R442" s="18" t="n"/>
      <c r="S442" s="18" t="n"/>
      <c r="T442" s="24">
        <f>IF(E442="","",E442-TODAY())</f>
        <v/>
      </c>
      <c r="U442" s="24">
        <f>IF(OR(M442="Paid",M442="Cancelled",E442=""),"",IF(E442&lt;TODAY(),"OVERDUE",IF(E442&lt;=TODAY()+'Setup &amp; Lists'!$M$7,"DUE SOON","")))</f>
        <v/>
      </c>
    </row>
    <row r="443">
      <c r="A443" s="18" t="n"/>
      <c r="B443" s="19" t="n"/>
      <c r="C443" s="19" t="n"/>
      <c r="D443" s="19" t="n"/>
      <c r="E443" s="20" t="n"/>
      <c r="F443" s="19" t="n"/>
      <c r="G443" s="19" t="n"/>
      <c r="H443" s="19" t="n"/>
      <c r="I443" s="21" t="n"/>
      <c r="J443" s="19" t="n"/>
      <c r="K443" s="21" t="n"/>
      <c r="L443" s="22">
        <f>IF(I443="","",MAX(0,I443-K443))</f>
        <v/>
      </c>
      <c r="M443" s="19" t="n"/>
      <c r="N443" s="18" t="n"/>
      <c r="O443" s="18" t="n"/>
      <c r="P443" s="23" t="n"/>
      <c r="Q443" s="18" t="n"/>
      <c r="R443" s="18" t="n"/>
      <c r="S443" s="18" t="n"/>
      <c r="T443" s="24">
        <f>IF(E443="","",E443-TODAY())</f>
        <v/>
      </c>
      <c r="U443" s="24">
        <f>IF(OR(M443="Paid",M443="Cancelled",E443=""),"",IF(E443&lt;TODAY(),"OVERDUE",IF(E443&lt;=TODAY()+'Setup &amp; Lists'!$M$7,"DUE SOON","")))</f>
        <v/>
      </c>
    </row>
    <row r="444">
      <c r="A444" s="18" t="n"/>
      <c r="B444" s="19" t="n"/>
      <c r="C444" s="19" t="n"/>
      <c r="D444" s="19" t="n"/>
      <c r="E444" s="20" t="n"/>
      <c r="F444" s="19" t="n"/>
      <c r="G444" s="19" t="n"/>
      <c r="H444" s="19" t="n"/>
      <c r="I444" s="21" t="n"/>
      <c r="J444" s="19" t="n"/>
      <c r="K444" s="21" t="n"/>
      <c r="L444" s="22">
        <f>IF(I444="","",MAX(0,I444-K444))</f>
        <v/>
      </c>
      <c r="M444" s="19" t="n"/>
      <c r="N444" s="18" t="n"/>
      <c r="O444" s="18" t="n"/>
      <c r="P444" s="23" t="n"/>
      <c r="Q444" s="18" t="n"/>
      <c r="R444" s="18" t="n"/>
      <c r="S444" s="18" t="n"/>
      <c r="T444" s="24">
        <f>IF(E444="","",E444-TODAY())</f>
        <v/>
      </c>
      <c r="U444" s="24">
        <f>IF(OR(M444="Paid",M444="Cancelled",E444=""),"",IF(E444&lt;TODAY(),"OVERDUE",IF(E444&lt;=TODAY()+'Setup &amp; Lists'!$M$7,"DUE SOON","")))</f>
        <v/>
      </c>
    </row>
    <row r="445">
      <c r="A445" s="18" t="n"/>
      <c r="B445" s="19" t="n"/>
      <c r="C445" s="19" t="n"/>
      <c r="D445" s="19" t="n"/>
      <c r="E445" s="20" t="n"/>
      <c r="F445" s="19" t="n"/>
      <c r="G445" s="19" t="n"/>
      <c r="H445" s="19" t="n"/>
      <c r="I445" s="21" t="n"/>
      <c r="J445" s="19" t="n"/>
      <c r="K445" s="21" t="n"/>
      <c r="L445" s="22">
        <f>IF(I445="","",MAX(0,I445-K445))</f>
        <v/>
      </c>
      <c r="M445" s="19" t="n"/>
      <c r="N445" s="18" t="n"/>
      <c r="O445" s="18" t="n"/>
      <c r="P445" s="23" t="n"/>
      <c r="Q445" s="18" t="n"/>
      <c r="R445" s="18" t="n"/>
      <c r="S445" s="18" t="n"/>
      <c r="T445" s="24">
        <f>IF(E445="","",E445-TODAY())</f>
        <v/>
      </c>
      <c r="U445" s="24">
        <f>IF(OR(M445="Paid",M445="Cancelled",E445=""),"",IF(E445&lt;TODAY(),"OVERDUE",IF(E445&lt;=TODAY()+'Setup &amp; Lists'!$M$7,"DUE SOON","")))</f>
        <v/>
      </c>
    </row>
    <row r="446">
      <c r="A446" s="18" t="n"/>
      <c r="B446" s="19" t="n"/>
      <c r="C446" s="19" t="n"/>
      <c r="D446" s="19" t="n"/>
      <c r="E446" s="20" t="n"/>
      <c r="F446" s="19" t="n"/>
      <c r="G446" s="19" t="n"/>
      <c r="H446" s="19" t="n"/>
      <c r="I446" s="21" t="n"/>
      <c r="J446" s="19" t="n"/>
      <c r="K446" s="21" t="n"/>
      <c r="L446" s="22">
        <f>IF(I446="","",MAX(0,I446-K446))</f>
        <v/>
      </c>
      <c r="M446" s="19" t="n"/>
      <c r="N446" s="18" t="n"/>
      <c r="O446" s="18" t="n"/>
      <c r="P446" s="23" t="n"/>
      <c r="Q446" s="18" t="n"/>
      <c r="R446" s="18" t="n"/>
      <c r="S446" s="18" t="n"/>
      <c r="T446" s="24">
        <f>IF(E446="","",E446-TODAY())</f>
        <v/>
      </c>
      <c r="U446" s="24">
        <f>IF(OR(M446="Paid",M446="Cancelled",E446=""),"",IF(E446&lt;TODAY(),"OVERDUE",IF(E446&lt;=TODAY()+'Setup &amp; Lists'!$M$7,"DUE SOON","")))</f>
        <v/>
      </c>
    </row>
    <row r="447">
      <c r="A447" s="18" t="n"/>
      <c r="B447" s="19" t="n"/>
      <c r="C447" s="19" t="n"/>
      <c r="D447" s="19" t="n"/>
      <c r="E447" s="20" t="n"/>
      <c r="F447" s="19" t="n"/>
      <c r="G447" s="19" t="n"/>
      <c r="H447" s="19" t="n"/>
      <c r="I447" s="21" t="n"/>
      <c r="J447" s="19" t="n"/>
      <c r="K447" s="21" t="n"/>
      <c r="L447" s="22">
        <f>IF(I447="","",MAX(0,I447-K447))</f>
        <v/>
      </c>
      <c r="M447" s="19" t="n"/>
      <c r="N447" s="18" t="n"/>
      <c r="O447" s="18" t="n"/>
      <c r="P447" s="23" t="n"/>
      <c r="Q447" s="18" t="n"/>
      <c r="R447" s="18" t="n"/>
      <c r="S447" s="18" t="n"/>
      <c r="T447" s="24">
        <f>IF(E447="","",E447-TODAY())</f>
        <v/>
      </c>
      <c r="U447" s="24">
        <f>IF(OR(M447="Paid",M447="Cancelled",E447=""),"",IF(E447&lt;TODAY(),"OVERDUE",IF(E447&lt;=TODAY()+'Setup &amp; Lists'!$M$7,"DUE SOON","")))</f>
        <v/>
      </c>
    </row>
    <row r="448">
      <c r="A448" s="18" t="n"/>
      <c r="B448" s="19" t="n"/>
      <c r="C448" s="19" t="n"/>
      <c r="D448" s="19" t="n"/>
      <c r="E448" s="20" t="n"/>
      <c r="F448" s="19" t="n"/>
      <c r="G448" s="19" t="n"/>
      <c r="H448" s="19" t="n"/>
      <c r="I448" s="21" t="n"/>
      <c r="J448" s="19" t="n"/>
      <c r="K448" s="21" t="n"/>
      <c r="L448" s="22">
        <f>IF(I448="","",MAX(0,I448-K448))</f>
        <v/>
      </c>
      <c r="M448" s="19" t="n"/>
      <c r="N448" s="18" t="n"/>
      <c r="O448" s="18" t="n"/>
      <c r="P448" s="23" t="n"/>
      <c r="Q448" s="18" t="n"/>
      <c r="R448" s="18" t="n"/>
      <c r="S448" s="18" t="n"/>
      <c r="T448" s="24">
        <f>IF(E448="","",E448-TODAY())</f>
        <v/>
      </c>
      <c r="U448" s="24">
        <f>IF(OR(M448="Paid",M448="Cancelled",E448=""),"",IF(E448&lt;TODAY(),"OVERDUE",IF(E448&lt;=TODAY()+'Setup &amp; Lists'!$M$7,"DUE SOON","")))</f>
        <v/>
      </c>
    </row>
    <row r="449">
      <c r="A449" s="18" t="n"/>
      <c r="B449" s="19" t="n"/>
      <c r="C449" s="19" t="n"/>
      <c r="D449" s="19" t="n"/>
      <c r="E449" s="20" t="n"/>
      <c r="F449" s="19" t="n"/>
      <c r="G449" s="19" t="n"/>
      <c r="H449" s="19" t="n"/>
      <c r="I449" s="21" t="n"/>
      <c r="J449" s="19" t="n"/>
      <c r="K449" s="21" t="n"/>
      <c r="L449" s="22">
        <f>IF(I449="","",MAX(0,I449-K449))</f>
        <v/>
      </c>
      <c r="M449" s="19" t="n"/>
      <c r="N449" s="18" t="n"/>
      <c r="O449" s="18" t="n"/>
      <c r="P449" s="23" t="n"/>
      <c r="Q449" s="18" t="n"/>
      <c r="R449" s="18" t="n"/>
      <c r="S449" s="18" t="n"/>
      <c r="T449" s="24">
        <f>IF(E449="","",E449-TODAY())</f>
        <v/>
      </c>
      <c r="U449" s="24">
        <f>IF(OR(M449="Paid",M449="Cancelled",E449=""),"",IF(E449&lt;TODAY(),"OVERDUE",IF(E449&lt;=TODAY()+'Setup &amp; Lists'!$M$7,"DUE SOON","")))</f>
        <v/>
      </c>
    </row>
    <row r="450">
      <c r="A450" s="18" t="n"/>
      <c r="B450" s="19" t="n"/>
      <c r="C450" s="19" t="n"/>
      <c r="D450" s="19" t="n"/>
      <c r="E450" s="20" t="n"/>
      <c r="F450" s="19" t="n"/>
      <c r="G450" s="19" t="n"/>
      <c r="H450" s="19" t="n"/>
      <c r="I450" s="21" t="n"/>
      <c r="J450" s="19" t="n"/>
      <c r="K450" s="21" t="n"/>
      <c r="L450" s="22">
        <f>IF(I450="","",MAX(0,I450-K450))</f>
        <v/>
      </c>
      <c r="M450" s="19" t="n"/>
      <c r="N450" s="18" t="n"/>
      <c r="O450" s="18" t="n"/>
      <c r="P450" s="23" t="n"/>
      <c r="Q450" s="18" t="n"/>
      <c r="R450" s="18" t="n"/>
      <c r="S450" s="18" t="n"/>
      <c r="T450" s="24">
        <f>IF(E450="","",E450-TODAY())</f>
        <v/>
      </c>
      <c r="U450" s="24">
        <f>IF(OR(M450="Paid",M450="Cancelled",E450=""),"",IF(E450&lt;TODAY(),"OVERDUE",IF(E450&lt;=TODAY()+'Setup &amp; Lists'!$M$7,"DUE SOON","")))</f>
        <v/>
      </c>
    </row>
    <row r="451">
      <c r="A451" s="18" t="n"/>
      <c r="B451" s="19" t="n"/>
      <c r="C451" s="19" t="n"/>
      <c r="D451" s="19" t="n"/>
      <c r="E451" s="20" t="n"/>
      <c r="F451" s="19" t="n"/>
      <c r="G451" s="19" t="n"/>
      <c r="H451" s="19" t="n"/>
      <c r="I451" s="21" t="n"/>
      <c r="J451" s="19" t="n"/>
      <c r="K451" s="21" t="n"/>
      <c r="L451" s="22">
        <f>IF(I451="","",MAX(0,I451-K451))</f>
        <v/>
      </c>
      <c r="M451" s="19" t="n"/>
      <c r="N451" s="18" t="n"/>
      <c r="O451" s="18" t="n"/>
      <c r="P451" s="23" t="n"/>
      <c r="Q451" s="18" t="n"/>
      <c r="R451" s="18" t="n"/>
      <c r="S451" s="18" t="n"/>
      <c r="T451" s="24">
        <f>IF(E451="","",E451-TODAY())</f>
        <v/>
      </c>
      <c r="U451" s="24">
        <f>IF(OR(M451="Paid",M451="Cancelled",E451=""),"",IF(E451&lt;TODAY(),"OVERDUE",IF(E451&lt;=TODAY()+'Setup &amp; Lists'!$M$7,"DUE SOON","")))</f>
        <v/>
      </c>
    </row>
    <row r="452">
      <c r="A452" s="18" t="n"/>
      <c r="B452" s="19" t="n"/>
      <c r="C452" s="19" t="n"/>
      <c r="D452" s="19" t="n"/>
      <c r="E452" s="20" t="n"/>
      <c r="F452" s="19" t="n"/>
      <c r="G452" s="19" t="n"/>
      <c r="H452" s="19" t="n"/>
      <c r="I452" s="21" t="n"/>
      <c r="J452" s="19" t="n"/>
      <c r="K452" s="21" t="n"/>
      <c r="L452" s="22">
        <f>IF(I452="","",MAX(0,I452-K452))</f>
        <v/>
      </c>
      <c r="M452" s="19" t="n"/>
      <c r="N452" s="18" t="n"/>
      <c r="O452" s="18" t="n"/>
      <c r="P452" s="23" t="n"/>
      <c r="Q452" s="18" t="n"/>
      <c r="R452" s="18" t="n"/>
      <c r="S452" s="18" t="n"/>
      <c r="T452" s="24">
        <f>IF(E452="","",E452-TODAY())</f>
        <v/>
      </c>
      <c r="U452" s="24">
        <f>IF(OR(M452="Paid",M452="Cancelled",E452=""),"",IF(E452&lt;TODAY(),"OVERDUE",IF(E452&lt;=TODAY()+'Setup &amp; Lists'!$M$7,"DUE SOON","")))</f>
        <v/>
      </c>
    </row>
    <row r="453">
      <c r="A453" s="18" t="n"/>
      <c r="B453" s="19" t="n"/>
      <c r="C453" s="19" t="n"/>
      <c r="D453" s="19" t="n"/>
      <c r="E453" s="20" t="n"/>
      <c r="F453" s="19" t="n"/>
      <c r="G453" s="19" t="n"/>
      <c r="H453" s="19" t="n"/>
      <c r="I453" s="21" t="n"/>
      <c r="J453" s="19" t="n"/>
      <c r="K453" s="21" t="n"/>
      <c r="L453" s="22">
        <f>IF(I453="","",MAX(0,I453-K453))</f>
        <v/>
      </c>
      <c r="M453" s="19" t="n"/>
      <c r="N453" s="18" t="n"/>
      <c r="O453" s="18" t="n"/>
      <c r="P453" s="23" t="n"/>
      <c r="Q453" s="18" t="n"/>
      <c r="R453" s="18" t="n"/>
      <c r="S453" s="18" t="n"/>
      <c r="T453" s="24">
        <f>IF(E453="","",E453-TODAY())</f>
        <v/>
      </c>
      <c r="U453" s="24">
        <f>IF(OR(M453="Paid",M453="Cancelled",E453=""),"",IF(E453&lt;TODAY(),"OVERDUE",IF(E453&lt;=TODAY()+'Setup &amp; Lists'!$M$7,"DUE SOON","")))</f>
        <v/>
      </c>
    </row>
    <row r="454">
      <c r="A454" s="18" t="n"/>
      <c r="B454" s="19" t="n"/>
      <c r="C454" s="19" t="n"/>
      <c r="D454" s="19" t="n"/>
      <c r="E454" s="20" t="n"/>
      <c r="F454" s="19" t="n"/>
      <c r="G454" s="19" t="n"/>
      <c r="H454" s="19" t="n"/>
      <c r="I454" s="21" t="n"/>
      <c r="J454" s="19" t="n"/>
      <c r="K454" s="21" t="n"/>
      <c r="L454" s="22">
        <f>IF(I454="","",MAX(0,I454-K454))</f>
        <v/>
      </c>
      <c r="M454" s="19" t="n"/>
      <c r="N454" s="18" t="n"/>
      <c r="O454" s="18" t="n"/>
      <c r="P454" s="23" t="n"/>
      <c r="Q454" s="18" t="n"/>
      <c r="R454" s="18" t="n"/>
      <c r="S454" s="18" t="n"/>
      <c r="T454" s="24">
        <f>IF(E454="","",E454-TODAY())</f>
        <v/>
      </c>
      <c r="U454" s="24">
        <f>IF(OR(M454="Paid",M454="Cancelled",E454=""),"",IF(E454&lt;TODAY(),"OVERDUE",IF(E454&lt;=TODAY()+'Setup &amp; Lists'!$M$7,"DUE SOON","")))</f>
        <v/>
      </c>
    </row>
    <row r="455">
      <c r="A455" s="18" t="n"/>
      <c r="B455" s="19" t="n"/>
      <c r="C455" s="19" t="n"/>
      <c r="D455" s="19" t="n"/>
      <c r="E455" s="20" t="n"/>
      <c r="F455" s="19" t="n"/>
      <c r="G455" s="19" t="n"/>
      <c r="H455" s="19" t="n"/>
      <c r="I455" s="21" t="n"/>
      <c r="J455" s="19" t="n"/>
      <c r="K455" s="21" t="n"/>
      <c r="L455" s="22">
        <f>IF(I455="","",MAX(0,I455-K455))</f>
        <v/>
      </c>
      <c r="M455" s="19" t="n"/>
      <c r="N455" s="18" t="n"/>
      <c r="O455" s="18" t="n"/>
      <c r="P455" s="23" t="n"/>
      <c r="Q455" s="18" t="n"/>
      <c r="R455" s="18" t="n"/>
      <c r="S455" s="18" t="n"/>
      <c r="T455" s="24">
        <f>IF(E455="","",E455-TODAY())</f>
        <v/>
      </c>
      <c r="U455" s="24">
        <f>IF(OR(M455="Paid",M455="Cancelled",E455=""),"",IF(E455&lt;TODAY(),"OVERDUE",IF(E455&lt;=TODAY()+'Setup &amp; Lists'!$M$7,"DUE SOON","")))</f>
        <v/>
      </c>
    </row>
    <row r="456">
      <c r="A456" s="18" t="n"/>
      <c r="B456" s="19" t="n"/>
      <c r="C456" s="19" t="n"/>
      <c r="D456" s="19" t="n"/>
      <c r="E456" s="20" t="n"/>
      <c r="F456" s="19" t="n"/>
      <c r="G456" s="19" t="n"/>
      <c r="H456" s="19" t="n"/>
      <c r="I456" s="21" t="n"/>
      <c r="J456" s="19" t="n"/>
      <c r="K456" s="21" t="n"/>
      <c r="L456" s="22">
        <f>IF(I456="","",MAX(0,I456-K456))</f>
        <v/>
      </c>
      <c r="M456" s="19" t="n"/>
      <c r="N456" s="18" t="n"/>
      <c r="O456" s="18" t="n"/>
      <c r="P456" s="23" t="n"/>
      <c r="Q456" s="18" t="n"/>
      <c r="R456" s="18" t="n"/>
      <c r="S456" s="18" t="n"/>
      <c r="T456" s="24">
        <f>IF(E456="","",E456-TODAY())</f>
        <v/>
      </c>
      <c r="U456" s="24">
        <f>IF(OR(M456="Paid",M456="Cancelled",E456=""),"",IF(E456&lt;TODAY(),"OVERDUE",IF(E456&lt;=TODAY()+'Setup &amp; Lists'!$M$7,"DUE SOON","")))</f>
        <v/>
      </c>
    </row>
    <row r="457">
      <c r="A457" s="18" t="n"/>
      <c r="B457" s="19" t="n"/>
      <c r="C457" s="19" t="n"/>
      <c r="D457" s="19" t="n"/>
      <c r="E457" s="20" t="n"/>
      <c r="F457" s="19" t="n"/>
      <c r="G457" s="19" t="n"/>
      <c r="H457" s="19" t="n"/>
      <c r="I457" s="21" t="n"/>
      <c r="J457" s="19" t="n"/>
      <c r="K457" s="21" t="n"/>
      <c r="L457" s="22">
        <f>IF(I457="","",MAX(0,I457-K457))</f>
        <v/>
      </c>
      <c r="M457" s="19" t="n"/>
      <c r="N457" s="18" t="n"/>
      <c r="O457" s="18" t="n"/>
      <c r="P457" s="23" t="n"/>
      <c r="Q457" s="18" t="n"/>
      <c r="R457" s="18" t="n"/>
      <c r="S457" s="18" t="n"/>
      <c r="T457" s="24">
        <f>IF(E457="","",E457-TODAY())</f>
        <v/>
      </c>
      <c r="U457" s="24">
        <f>IF(OR(M457="Paid",M457="Cancelled",E457=""),"",IF(E457&lt;TODAY(),"OVERDUE",IF(E457&lt;=TODAY()+'Setup &amp; Lists'!$M$7,"DUE SOON","")))</f>
        <v/>
      </c>
    </row>
    <row r="458">
      <c r="A458" s="18" t="n"/>
      <c r="B458" s="19" t="n"/>
      <c r="C458" s="19" t="n"/>
      <c r="D458" s="19" t="n"/>
      <c r="E458" s="20" t="n"/>
      <c r="F458" s="19" t="n"/>
      <c r="G458" s="19" t="n"/>
      <c r="H458" s="19" t="n"/>
      <c r="I458" s="21" t="n"/>
      <c r="J458" s="19" t="n"/>
      <c r="K458" s="21" t="n"/>
      <c r="L458" s="22">
        <f>IF(I458="","",MAX(0,I458-K458))</f>
        <v/>
      </c>
      <c r="M458" s="19" t="n"/>
      <c r="N458" s="18" t="n"/>
      <c r="O458" s="18" t="n"/>
      <c r="P458" s="23" t="n"/>
      <c r="Q458" s="18" t="n"/>
      <c r="R458" s="18" t="n"/>
      <c r="S458" s="18" t="n"/>
      <c r="T458" s="24">
        <f>IF(E458="","",E458-TODAY())</f>
        <v/>
      </c>
      <c r="U458" s="24">
        <f>IF(OR(M458="Paid",M458="Cancelled",E458=""),"",IF(E458&lt;TODAY(),"OVERDUE",IF(E458&lt;=TODAY()+'Setup &amp; Lists'!$M$7,"DUE SOON","")))</f>
        <v/>
      </c>
    </row>
    <row r="459">
      <c r="A459" s="18" t="n"/>
      <c r="B459" s="19" t="n"/>
      <c r="C459" s="19" t="n"/>
      <c r="D459" s="19" t="n"/>
      <c r="E459" s="20" t="n"/>
      <c r="F459" s="19" t="n"/>
      <c r="G459" s="19" t="n"/>
      <c r="H459" s="19" t="n"/>
      <c r="I459" s="21" t="n"/>
      <c r="J459" s="19" t="n"/>
      <c r="K459" s="21" t="n"/>
      <c r="L459" s="22">
        <f>IF(I459="","",MAX(0,I459-K459))</f>
        <v/>
      </c>
      <c r="M459" s="19" t="n"/>
      <c r="N459" s="18" t="n"/>
      <c r="O459" s="18" t="n"/>
      <c r="P459" s="23" t="n"/>
      <c r="Q459" s="18" t="n"/>
      <c r="R459" s="18" t="n"/>
      <c r="S459" s="18" t="n"/>
      <c r="T459" s="24">
        <f>IF(E459="","",E459-TODAY())</f>
        <v/>
      </c>
      <c r="U459" s="24">
        <f>IF(OR(M459="Paid",M459="Cancelled",E459=""),"",IF(E459&lt;TODAY(),"OVERDUE",IF(E459&lt;=TODAY()+'Setup &amp; Lists'!$M$7,"DUE SOON","")))</f>
        <v/>
      </c>
    </row>
    <row r="460">
      <c r="A460" s="18" t="n"/>
      <c r="B460" s="19" t="n"/>
      <c r="C460" s="19" t="n"/>
      <c r="D460" s="19" t="n"/>
      <c r="E460" s="20" t="n"/>
      <c r="F460" s="19" t="n"/>
      <c r="G460" s="19" t="n"/>
      <c r="H460" s="19" t="n"/>
      <c r="I460" s="21" t="n"/>
      <c r="J460" s="19" t="n"/>
      <c r="K460" s="21" t="n"/>
      <c r="L460" s="22">
        <f>IF(I460="","",MAX(0,I460-K460))</f>
        <v/>
      </c>
      <c r="M460" s="19" t="n"/>
      <c r="N460" s="18" t="n"/>
      <c r="O460" s="18" t="n"/>
      <c r="P460" s="23" t="n"/>
      <c r="Q460" s="18" t="n"/>
      <c r="R460" s="18" t="n"/>
      <c r="S460" s="18" t="n"/>
      <c r="T460" s="24">
        <f>IF(E460="","",E460-TODAY())</f>
        <v/>
      </c>
      <c r="U460" s="24">
        <f>IF(OR(M460="Paid",M460="Cancelled",E460=""),"",IF(E460&lt;TODAY(),"OVERDUE",IF(E460&lt;=TODAY()+'Setup &amp; Lists'!$M$7,"DUE SOON","")))</f>
        <v/>
      </c>
    </row>
    <row r="461">
      <c r="A461" s="18" t="n"/>
      <c r="B461" s="19" t="n"/>
      <c r="C461" s="19" t="n"/>
      <c r="D461" s="19" t="n"/>
      <c r="E461" s="20" t="n"/>
      <c r="F461" s="19" t="n"/>
      <c r="G461" s="19" t="n"/>
      <c r="H461" s="19" t="n"/>
      <c r="I461" s="21" t="n"/>
      <c r="J461" s="19" t="n"/>
      <c r="K461" s="21" t="n"/>
      <c r="L461" s="22">
        <f>IF(I461="","",MAX(0,I461-K461))</f>
        <v/>
      </c>
      <c r="M461" s="19" t="n"/>
      <c r="N461" s="18" t="n"/>
      <c r="O461" s="18" t="n"/>
      <c r="P461" s="23" t="n"/>
      <c r="Q461" s="18" t="n"/>
      <c r="R461" s="18" t="n"/>
      <c r="S461" s="18" t="n"/>
      <c r="T461" s="24">
        <f>IF(E461="","",E461-TODAY())</f>
        <v/>
      </c>
      <c r="U461" s="24">
        <f>IF(OR(M461="Paid",M461="Cancelled",E461=""),"",IF(E461&lt;TODAY(),"OVERDUE",IF(E461&lt;=TODAY()+'Setup &amp; Lists'!$M$7,"DUE SOON","")))</f>
        <v/>
      </c>
    </row>
    <row r="462">
      <c r="A462" s="18" t="n"/>
      <c r="B462" s="19" t="n"/>
      <c r="C462" s="19" t="n"/>
      <c r="D462" s="19" t="n"/>
      <c r="E462" s="20" t="n"/>
      <c r="F462" s="19" t="n"/>
      <c r="G462" s="19" t="n"/>
      <c r="H462" s="19" t="n"/>
      <c r="I462" s="21" t="n"/>
      <c r="J462" s="19" t="n"/>
      <c r="K462" s="21" t="n"/>
      <c r="L462" s="22">
        <f>IF(I462="","",MAX(0,I462-K462))</f>
        <v/>
      </c>
      <c r="M462" s="19" t="n"/>
      <c r="N462" s="18" t="n"/>
      <c r="O462" s="18" t="n"/>
      <c r="P462" s="23" t="n"/>
      <c r="Q462" s="18" t="n"/>
      <c r="R462" s="18" t="n"/>
      <c r="S462" s="18" t="n"/>
      <c r="T462" s="24">
        <f>IF(E462="","",E462-TODAY())</f>
        <v/>
      </c>
      <c r="U462" s="24">
        <f>IF(OR(M462="Paid",M462="Cancelled",E462=""),"",IF(E462&lt;TODAY(),"OVERDUE",IF(E462&lt;=TODAY()+'Setup &amp; Lists'!$M$7,"DUE SOON","")))</f>
        <v/>
      </c>
    </row>
    <row r="463">
      <c r="A463" s="18" t="n"/>
      <c r="B463" s="19" t="n"/>
      <c r="C463" s="19" t="n"/>
      <c r="D463" s="19" t="n"/>
      <c r="E463" s="20" t="n"/>
      <c r="F463" s="19" t="n"/>
      <c r="G463" s="19" t="n"/>
      <c r="H463" s="19" t="n"/>
      <c r="I463" s="21" t="n"/>
      <c r="J463" s="19" t="n"/>
      <c r="K463" s="21" t="n"/>
      <c r="L463" s="22">
        <f>IF(I463="","",MAX(0,I463-K463))</f>
        <v/>
      </c>
      <c r="M463" s="19" t="n"/>
      <c r="N463" s="18" t="n"/>
      <c r="O463" s="18" t="n"/>
      <c r="P463" s="23" t="n"/>
      <c r="Q463" s="18" t="n"/>
      <c r="R463" s="18" t="n"/>
      <c r="S463" s="18" t="n"/>
      <c r="T463" s="24">
        <f>IF(E463="","",E463-TODAY())</f>
        <v/>
      </c>
      <c r="U463" s="24">
        <f>IF(OR(M463="Paid",M463="Cancelled",E463=""),"",IF(E463&lt;TODAY(),"OVERDUE",IF(E463&lt;=TODAY()+'Setup &amp; Lists'!$M$7,"DUE SOON","")))</f>
        <v/>
      </c>
    </row>
    <row r="464">
      <c r="A464" s="18" t="n"/>
      <c r="B464" s="19" t="n"/>
      <c r="C464" s="19" t="n"/>
      <c r="D464" s="19" t="n"/>
      <c r="E464" s="20" t="n"/>
      <c r="F464" s="19" t="n"/>
      <c r="G464" s="19" t="n"/>
      <c r="H464" s="19" t="n"/>
      <c r="I464" s="21" t="n"/>
      <c r="J464" s="19" t="n"/>
      <c r="K464" s="21" t="n"/>
      <c r="L464" s="22">
        <f>IF(I464="","",MAX(0,I464-K464))</f>
        <v/>
      </c>
      <c r="M464" s="19" t="n"/>
      <c r="N464" s="18" t="n"/>
      <c r="O464" s="18" t="n"/>
      <c r="P464" s="23" t="n"/>
      <c r="Q464" s="18" t="n"/>
      <c r="R464" s="18" t="n"/>
      <c r="S464" s="18" t="n"/>
      <c r="T464" s="24">
        <f>IF(E464="","",E464-TODAY())</f>
        <v/>
      </c>
      <c r="U464" s="24">
        <f>IF(OR(M464="Paid",M464="Cancelled",E464=""),"",IF(E464&lt;TODAY(),"OVERDUE",IF(E464&lt;=TODAY()+'Setup &amp; Lists'!$M$7,"DUE SOON","")))</f>
        <v/>
      </c>
    </row>
    <row r="465">
      <c r="A465" s="18" t="n"/>
      <c r="B465" s="19" t="n"/>
      <c r="C465" s="19" t="n"/>
      <c r="D465" s="19" t="n"/>
      <c r="E465" s="20" t="n"/>
      <c r="F465" s="19" t="n"/>
      <c r="G465" s="19" t="n"/>
      <c r="H465" s="19" t="n"/>
      <c r="I465" s="21" t="n"/>
      <c r="J465" s="19" t="n"/>
      <c r="K465" s="21" t="n"/>
      <c r="L465" s="22">
        <f>IF(I465="","",MAX(0,I465-K465))</f>
        <v/>
      </c>
      <c r="M465" s="19" t="n"/>
      <c r="N465" s="18" t="n"/>
      <c r="O465" s="18" t="n"/>
      <c r="P465" s="23" t="n"/>
      <c r="Q465" s="18" t="n"/>
      <c r="R465" s="18" t="n"/>
      <c r="S465" s="18" t="n"/>
      <c r="T465" s="24">
        <f>IF(E465="","",E465-TODAY())</f>
        <v/>
      </c>
      <c r="U465" s="24">
        <f>IF(OR(M465="Paid",M465="Cancelled",E465=""),"",IF(E465&lt;TODAY(),"OVERDUE",IF(E465&lt;=TODAY()+'Setup &amp; Lists'!$M$7,"DUE SOON","")))</f>
        <v/>
      </c>
    </row>
    <row r="466">
      <c r="A466" s="18" t="n"/>
      <c r="B466" s="19" t="n"/>
      <c r="C466" s="19" t="n"/>
      <c r="D466" s="19" t="n"/>
      <c r="E466" s="20" t="n"/>
      <c r="F466" s="19" t="n"/>
      <c r="G466" s="19" t="n"/>
      <c r="H466" s="19" t="n"/>
      <c r="I466" s="21" t="n"/>
      <c r="J466" s="19" t="n"/>
      <c r="K466" s="21" t="n"/>
      <c r="L466" s="22">
        <f>IF(I466="","",MAX(0,I466-K466))</f>
        <v/>
      </c>
      <c r="M466" s="19" t="n"/>
      <c r="N466" s="18" t="n"/>
      <c r="O466" s="18" t="n"/>
      <c r="P466" s="23" t="n"/>
      <c r="Q466" s="18" t="n"/>
      <c r="R466" s="18" t="n"/>
      <c r="S466" s="18" t="n"/>
      <c r="T466" s="24">
        <f>IF(E466="","",E466-TODAY())</f>
        <v/>
      </c>
      <c r="U466" s="24">
        <f>IF(OR(M466="Paid",M466="Cancelled",E466=""),"",IF(E466&lt;TODAY(),"OVERDUE",IF(E466&lt;=TODAY()+'Setup &amp; Lists'!$M$7,"DUE SOON","")))</f>
        <v/>
      </c>
    </row>
    <row r="467">
      <c r="A467" s="18" t="n"/>
      <c r="B467" s="19" t="n"/>
      <c r="C467" s="19" t="n"/>
      <c r="D467" s="19" t="n"/>
      <c r="E467" s="20" t="n"/>
      <c r="F467" s="19" t="n"/>
      <c r="G467" s="19" t="n"/>
      <c r="H467" s="19" t="n"/>
      <c r="I467" s="21" t="n"/>
      <c r="J467" s="19" t="n"/>
      <c r="K467" s="21" t="n"/>
      <c r="L467" s="22">
        <f>IF(I467="","",MAX(0,I467-K467))</f>
        <v/>
      </c>
      <c r="M467" s="19" t="n"/>
      <c r="N467" s="18" t="n"/>
      <c r="O467" s="18" t="n"/>
      <c r="P467" s="23" t="n"/>
      <c r="Q467" s="18" t="n"/>
      <c r="R467" s="18" t="n"/>
      <c r="S467" s="18" t="n"/>
      <c r="T467" s="24">
        <f>IF(E467="","",E467-TODAY())</f>
        <v/>
      </c>
      <c r="U467" s="24">
        <f>IF(OR(M467="Paid",M467="Cancelled",E467=""),"",IF(E467&lt;TODAY(),"OVERDUE",IF(E467&lt;=TODAY()+'Setup &amp; Lists'!$M$7,"DUE SOON","")))</f>
        <v/>
      </c>
    </row>
    <row r="468">
      <c r="A468" s="18" t="n"/>
      <c r="B468" s="19" t="n"/>
      <c r="C468" s="19" t="n"/>
      <c r="D468" s="19" t="n"/>
      <c r="E468" s="20" t="n"/>
      <c r="F468" s="19" t="n"/>
      <c r="G468" s="19" t="n"/>
      <c r="H468" s="19" t="n"/>
      <c r="I468" s="21" t="n"/>
      <c r="J468" s="19" t="n"/>
      <c r="K468" s="21" t="n"/>
      <c r="L468" s="22">
        <f>IF(I468="","",MAX(0,I468-K468))</f>
        <v/>
      </c>
      <c r="M468" s="19" t="n"/>
      <c r="N468" s="18" t="n"/>
      <c r="O468" s="18" t="n"/>
      <c r="P468" s="23" t="n"/>
      <c r="Q468" s="18" t="n"/>
      <c r="R468" s="18" t="n"/>
      <c r="S468" s="18" t="n"/>
      <c r="T468" s="24">
        <f>IF(E468="","",E468-TODAY())</f>
        <v/>
      </c>
      <c r="U468" s="24">
        <f>IF(OR(M468="Paid",M468="Cancelled",E468=""),"",IF(E468&lt;TODAY(),"OVERDUE",IF(E468&lt;=TODAY()+'Setup &amp; Lists'!$M$7,"DUE SOON","")))</f>
        <v/>
      </c>
    </row>
    <row r="469">
      <c r="A469" s="18" t="n"/>
      <c r="B469" s="19" t="n"/>
      <c r="C469" s="19" t="n"/>
      <c r="D469" s="19" t="n"/>
      <c r="E469" s="20" t="n"/>
      <c r="F469" s="19" t="n"/>
      <c r="G469" s="19" t="n"/>
      <c r="H469" s="19" t="n"/>
      <c r="I469" s="21" t="n"/>
      <c r="J469" s="19" t="n"/>
      <c r="K469" s="21" t="n"/>
      <c r="L469" s="22">
        <f>IF(I469="","",MAX(0,I469-K469))</f>
        <v/>
      </c>
      <c r="M469" s="19" t="n"/>
      <c r="N469" s="18" t="n"/>
      <c r="O469" s="18" t="n"/>
      <c r="P469" s="23" t="n"/>
      <c r="Q469" s="18" t="n"/>
      <c r="R469" s="18" t="n"/>
      <c r="S469" s="18" t="n"/>
      <c r="T469" s="24">
        <f>IF(E469="","",E469-TODAY())</f>
        <v/>
      </c>
      <c r="U469" s="24">
        <f>IF(OR(M469="Paid",M469="Cancelled",E469=""),"",IF(E469&lt;TODAY(),"OVERDUE",IF(E469&lt;=TODAY()+'Setup &amp; Lists'!$M$7,"DUE SOON","")))</f>
        <v/>
      </c>
    </row>
    <row r="470">
      <c r="A470" s="18" t="n"/>
      <c r="B470" s="19" t="n"/>
      <c r="C470" s="19" t="n"/>
      <c r="D470" s="19" t="n"/>
      <c r="E470" s="20" t="n"/>
      <c r="F470" s="19" t="n"/>
      <c r="G470" s="19" t="n"/>
      <c r="H470" s="19" t="n"/>
      <c r="I470" s="21" t="n"/>
      <c r="J470" s="19" t="n"/>
      <c r="K470" s="21" t="n"/>
      <c r="L470" s="22">
        <f>IF(I470="","",MAX(0,I470-K470))</f>
        <v/>
      </c>
      <c r="M470" s="19" t="n"/>
      <c r="N470" s="18" t="n"/>
      <c r="O470" s="18" t="n"/>
      <c r="P470" s="23" t="n"/>
      <c r="Q470" s="18" t="n"/>
      <c r="R470" s="18" t="n"/>
      <c r="S470" s="18" t="n"/>
      <c r="T470" s="24">
        <f>IF(E470="","",E470-TODAY())</f>
        <v/>
      </c>
      <c r="U470" s="24">
        <f>IF(OR(M470="Paid",M470="Cancelled",E470=""),"",IF(E470&lt;TODAY(),"OVERDUE",IF(E470&lt;=TODAY()+'Setup &amp; Lists'!$M$7,"DUE SOON","")))</f>
        <v/>
      </c>
    </row>
    <row r="471">
      <c r="A471" s="18" t="n"/>
      <c r="B471" s="19" t="n"/>
      <c r="C471" s="19" t="n"/>
      <c r="D471" s="19" t="n"/>
      <c r="E471" s="20" t="n"/>
      <c r="F471" s="19" t="n"/>
      <c r="G471" s="19" t="n"/>
      <c r="H471" s="19" t="n"/>
      <c r="I471" s="21" t="n"/>
      <c r="J471" s="19" t="n"/>
      <c r="K471" s="21" t="n"/>
      <c r="L471" s="22">
        <f>IF(I471="","",MAX(0,I471-K471))</f>
        <v/>
      </c>
      <c r="M471" s="19" t="n"/>
      <c r="N471" s="18" t="n"/>
      <c r="O471" s="18" t="n"/>
      <c r="P471" s="23" t="n"/>
      <c r="Q471" s="18" t="n"/>
      <c r="R471" s="18" t="n"/>
      <c r="S471" s="18" t="n"/>
      <c r="T471" s="24">
        <f>IF(E471="","",E471-TODAY())</f>
        <v/>
      </c>
      <c r="U471" s="24">
        <f>IF(OR(M471="Paid",M471="Cancelled",E471=""),"",IF(E471&lt;TODAY(),"OVERDUE",IF(E471&lt;=TODAY()+'Setup &amp; Lists'!$M$7,"DUE SOON","")))</f>
        <v/>
      </c>
    </row>
    <row r="472">
      <c r="A472" s="18" t="n"/>
      <c r="B472" s="19" t="n"/>
      <c r="C472" s="19" t="n"/>
      <c r="D472" s="19" t="n"/>
      <c r="E472" s="20" t="n"/>
      <c r="F472" s="19" t="n"/>
      <c r="G472" s="19" t="n"/>
      <c r="H472" s="19" t="n"/>
      <c r="I472" s="21" t="n"/>
      <c r="J472" s="19" t="n"/>
      <c r="K472" s="21" t="n"/>
      <c r="L472" s="22">
        <f>IF(I472="","",MAX(0,I472-K472))</f>
        <v/>
      </c>
      <c r="M472" s="19" t="n"/>
      <c r="N472" s="18" t="n"/>
      <c r="O472" s="18" t="n"/>
      <c r="P472" s="23" t="n"/>
      <c r="Q472" s="18" t="n"/>
      <c r="R472" s="18" t="n"/>
      <c r="S472" s="18" t="n"/>
      <c r="T472" s="24">
        <f>IF(E472="","",E472-TODAY())</f>
        <v/>
      </c>
      <c r="U472" s="24">
        <f>IF(OR(M472="Paid",M472="Cancelled",E472=""),"",IF(E472&lt;TODAY(),"OVERDUE",IF(E472&lt;=TODAY()+'Setup &amp; Lists'!$M$7,"DUE SOON","")))</f>
        <v/>
      </c>
    </row>
    <row r="473">
      <c r="A473" s="18" t="n"/>
      <c r="B473" s="19" t="n"/>
      <c r="C473" s="19" t="n"/>
      <c r="D473" s="19" t="n"/>
      <c r="E473" s="20" t="n"/>
      <c r="F473" s="19" t="n"/>
      <c r="G473" s="19" t="n"/>
      <c r="H473" s="19" t="n"/>
      <c r="I473" s="21" t="n"/>
      <c r="J473" s="19" t="n"/>
      <c r="K473" s="21" t="n"/>
      <c r="L473" s="22">
        <f>IF(I473="","",MAX(0,I473-K473))</f>
        <v/>
      </c>
      <c r="M473" s="19" t="n"/>
      <c r="N473" s="18" t="n"/>
      <c r="O473" s="18" t="n"/>
      <c r="P473" s="23" t="n"/>
      <c r="Q473" s="18" t="n"/>
      <c r="R473" s="18" t="n"/>
      <c r="S473" s="18" t="n"/>
      <c r="T473" s="24">
        <f>IF(E473="","",E473-TODAY())</f>
        <v/>
      </c>
      <c r="U473" s="24">
        <f>IF(OR(M473="Paid",M473="Cancelled",E473=""),"",IF(E473&lt;TODAY(),"OVERDUE",IF(E473&lt;=TODAY()+'Setup &amp; Lists'!$M$7,"DUE SOON","")))</f>
        <v/>
      </c>
    </row>
    <row r="474">
      <c r="A474" s="18" t="n"/>
      <c r="B474" s="19" t="n"/>
      <c r="C474" s="19" t="n"/>
      <c r="D474" s="19" t="n"/>
      <c r="E474" s="20" t="n"/>
      <c r="F474" s="19" t="n"/>
      <c r="G474" s="19" t="n"/>
      <c r="H474" s="19" t="n"/>
      <c r="I474" s="21" t="n"/>
      <c r="J474" s="19" t="n"/>
      <c r="K474" s="21" t="n"/>
      <c r="L474" s="22">
        <f>IF(I474="","",MAX(0,I474-K474))</f>
        <v/>
      </c>
      <c r="M474" s="19" t="n"/>
      <c r="N474" s="18" t="n"/>
      <c r="O474" s="18" t="n"/>
      <c r="P474" s="23" t="n"/>
      <c r="Q474" s="18" t="n"/>
      <c r="R474" s="18" t="n"/>
      <c r="S474" s="18" t="n"/>
      <c r="T474" s="24">
        <f>IF(E474="","",E474-TODAY())</f>
        <v/>
      </c>
      <c r="U474" s="24">
        <f>IF(OR(M474="Paid",M474="Cancelled",E474=""),"",IF(E474&lt;TODAY(),"OVERDUE",IF(E474&lt;=TODAY()+'Setup &amp; Lists'!$M$7,"DUE SOON","")))</f>
        <v/>
      </c>
    </row>
    <row r="475">
      <c r="A475" s="18" t="n"/>
      <c r="B475" s="19" t="n"/>
      <c r="C475" s="19" t="n"/>
      <c r="D475" s="19" t="n"/>
      <c r="E475" s="20" t="n"/>
      <c r="F475" s="19" t="n"/>
      <c r="G475" s="19" t="n"/>
      <c r="H475" s="19" t="n"/>
      <c r="I475" s="21" t="n"/>
      <c r="J475" s="19" t="n"/>
      <c r="K475" s="21" t="n"/>
      <c r="L475" s="22">
        <f>IF(I475="","",MAX(0,I475-K475))</f>
        <v/>
      </c>
      <c r="M475" s="19" t="n"/>
      <c r="N475" s="18" t="n"/>
      <c r="O475" s="18" t="n"/>
      <c r="P475" s="23" t="n"/>
      <c r="Q475" s="18" t="n"/>
      <c r="R475" s="18" t="n"/>
      <c r="S475" s="18" t="n"/>
      <c r="T475" s="24">
        <f>IF(E475="","",E475-TODAY())</f>
        <v/>
      </c>
      <c r="U475" s="24">
        <f>IF(OR(M475="Paid",M475="Cancelled",E475=""),"",IF(E475&lt;TODAY(),"OVERDUE",IF(E475&lt;=TODAY()+'Setup &amp; Lists'!$M$7,"DUE SOON","")))</f>
        <v/>
      </c>
    </row>
    <row r="476">
      <c r="A476" s="18" t="n"/>
      <c r="B476" s="19" t="n"/>
      <c r="C476" s="19" t="n"/>
      <c r="D476" s="19" t="n"/>
      <c r="E476" s="20" t="n"/>
      <c r="F476" s="19" t="n"/>
      <c r="G476" s="19" t="n"/>
      <c r="H476" s="19" t="n"/>
      <c r="I476" s="21" t="n"/>
      <c r="J476" s="19" t="n"/>
      <c r="K476" s="21" t="n"/>
      <c r="L476" s="22">
        <f>IF(I476="","",MAX(0,I476-K476))</f>
        <v/>
      </c>
      <c r="M476" s="19" t="n"/>
      <c r="N476" s="18" t="n"/>
      <c r="O476" s="18" t="n"/>
      <c r="P476" s="23" t="n"/>
      <c r="Q476" s="18" t="n"/>
      <c r="R476" s="18" t="n"/>
      <c r="S476" s="18" t="n"/>
      <c r="T476" s="24">
        <f>IF(E476="","",E476-TODAY())</f>
        <v/>
      </c>
      <c r="U476" s="24">
        <f>IF(OR(M476="Paid",M476="Cancelled",E476=""),"",IF(E476&lt;TODAY(),"OVERDUE",IF(E476&lt;=TODAY()+'Setup &amp; Lists'!$M$7,"DUE SOON","")))</f>
        <v/>
      </c>
    </row>
    <row r="477">
      <c r="A477" s="18" t="n"/>
      <c r="B477" s="19" t="n"/>
      <c r="C477" s="19" t="n"/>
      <c r="D477" s="19" t="n"/>
      <c r="E477" s="20" t="n"/>
      <c r="F477" s="19" t="n"/>
      <c r="G477" s="19" t="n"/>
      <c r="H477" s="19" t="n"/>
      <c r="I477" s="21" t="n"/>
      <c r="J477" s="19" t="n"/>
      <c r="K477" s="21" t="n"/>
      <c r="L477" s="22">
        <f>IF(I477="","",MAX(0,I477-K477))</f>
        <v/>
      </c>
      <c r="M477" s="19" t="n"/>
      <c r="N477" s="18" t="n"/>
      <c r="O477" s="18" t="n"/>
      <c r="P477" s="23" t="n"/>
      <c r="Q477" s="18" t="n"/>
      <c r="R477" s="18" t="n"/>
      <c r="S477" s="18" t="n"/>
      <c r="T477" s="24">
        <f>IF(E477="","",E477-TODAY())</f>
        <v/>
      </c>
      <c r="U477" s="24">
        <f>IF(OR(M477="Paid",M477="Cancelled",E477=""),"",IF(E477&lt;TODAY(),"OVERDUE",IF(E477&lt;=TODAY()+'Setup &amp; Lists'!$M$7,"DUE SOON","")))</f>
        <v/>
      </c>
    </row>
    <row r="478">
      <c r="A478" s="18" t="n"/>
      <c r="B478" s="19" t="n"/>
      <c r="C478" s="19" t="n"/>
      <c r="D478" s="19" t="n"/>
      <c r="E478" s="20" t="n"/>
      <c r="F478" s="19" t="n"/>
      <c r="G478" s="19" t="n"/>
      <c r="H478" s="19" t="n"/>
      <c r="I478" s="21" t="n"/>
      <c r="J478" s="19" t="n"/>
      <c r="K478" s="21" t="n"/>
      <c r="L478" s="22">
        <f>IF(I478="","",MAX(0,I478-K478))</f>
        <v/>
      </c>
      <c r="M478" s="19" t="n"/>
      <c r="N478" s="18" t="n"/>
      <c r="O478" s="18" t="n"/>
      <c r="P478" s="23" t="n"/>
      <c r="Q478" s="18" t="n"/>
      <c r="R478" s="18" t="n"/>
      <c r="S478" s="18" t="n"/>
      <c r="T478" s="24">
        <f>IF(E478="","",E478-TODAY())</f>
        <v/>
      </c>
      <c r="U478" s="24">
        <f>IF(OR(M478="Paid",M478="Cancelled",E478=""),"",IF(E478&lt;TODAY(),"OVERDUE",IF(E478&lt;=TODAY()+'Setup &amp; Lists'!$M$7,"DUE SOON","")))</f>
        <v/>
      </c>
    </row>
    <row r="479">
      <c r="A479" s="18" t="n"/>
      <c r="B479" s="19" t="n"/>
      <c r="C479" s="19" t="n"/>
      <c r="D479" s="19" t="n"/>
      <c r="E479" s="20" t="n"/>
      <c r="F479" s="19" t="n"/>
      <c r="G479" s="19" t="n"/>
      <c r="H479" s="19" t="n"/>
      <c r="I479" s="21" t="n"/>
      <c r="J479" s="19" t="n"/>
      <c r="K479" s="21" t="n"/>
      <c r="L479" s="22">
        <f>IF(I479="","",MAX(0,I479-K479))</f>
        <v/>
      </c>
      <c r="M479" s="19" t="n"/>
      <c r="N479" s="18" t="n"/>
      <c r="O479" s="18" t="n"/>
      <c r="P479" s="23" t="n"/>
      <c r="Q479" s="18" t="n"/>
      <c r="R479" s="18" t="n"/>
      <c r="S479" s="18" t="n"/>
      <c r="T479" s="24">
        <f>IF(E479="","",E479-TODAY())</f>
        <v/>
      </c>
      <c r="U479" s="24">
        <f>IF(OR(M479="Paid",M479="Cancelled",E479=""),"",IF(E479&lt;TODAY(),"OVERDUE",IF(E479&lt;=TODAY()+'Setup &amp; Lists'!$M$7,"DUE SOON","")))</f>
        <v/>
      </c>
    </row>
    <row r="480">
      <c r="A480" s="18" t="n"/>
      <c r="B480" s="19" t="n"/>
      <c r="C480" s="19" t="n"/>
      <c r="D480" s="19" t="n"/>
      <c r="E480" s="20" t="n"/>
      <c r="F480" s="19" t="n"/>
      <c r="G480" s="19" t="n"/>
      <c r="H480" s="19" t="n"/>
      <c r="I480" s="21" t="n"/>
      <c r="J480" s="19" t="n"/>
      <c r="K480" s="21" t="n"/>
      <c r="L480" s="22">
        <f>IF(I480="","",MAX(0,I480-K480))</f>
        <v/>
      </c>
      <c r="M480" s="19" t="n"/>
      <c r="N480" s="18" t="n"/>
      <c r="O480" s="18" t="n"/>
      <c r="P480" s="23" t="n"/>
      <c r="Q480" s="18" t="n"/>
      <c r="R480" s="18" t="n"/>
      <c r="S480" s="18" t="n"/>
      <c r="T480" s="24">
        <f>IF(E480="","",E480-TODAY())</f>
        <v/>
      </c>
      <c r="U480" s="24">
        <f>IF(OR(M480="Paid",M480="Cancelled",E480=""),"",IF(E480&lt;TODAY(),"OVERDUE",IF(E480&lt;=TODAY()+'Setup &amp; Lists'!$M$7,"DUE SOON","")))</f>
        <v/>
      </c>
    </row>
    <row r="481">
      <c r="A481" s="18" t="n"/>
      <c r="B481" s="19" t="n"/>
      <c r="C481" s="19" t="n"/>
      <c r="D481" s="19" t="n"/>
      <c r="E481" s="20" t="n"/>
      <c r="F481" s="19" t="n"/>
      <c r="G481" s="19" t="n"/>
      <c r="H481" s="19" t="n"/>
      <c r="I481" s="21" t="n"/>
      <c r="J481" s="19" t="n"/>
      <c r="K481" s="21" t="n"/>
      <c r="L481" s="22">
        <f>IF(I481="","",MAX(0,I481-K481))</f>
        <v/>
      </c>
      <c r="M481" s="19" t="n"/>
      <c r="N481" s="18" t="n"/>
      <c r="O481" s="18" t="n"/>
      <c r="P481" s="23" t="n"/>
      <c r="Q481" s="18" t="n"/>
      <c r="R481" s="18" t="n"/>
      <c r="S481" s="18" t="n"/>
      <c r="T481" s="24">
        <f>IF(E481="","",E481-TODAY())</f>
        <v/>
      </c>
      <c r="U481" s="24">
        <f>IF(OR(M481="Paid",M481="Cancelled",E481=""),"",IF(E481&lt;TODAY(),"OVERDUE",IF(E481&lt;=TODAY()+'Setup &amp; Lists'!$M$7,"DUE SOON","")))</f>
        <v/>
      </c>
    </row>
    <row r="482">
      <c r="A482" s="18" t="n"/>
      <c r="B482" s="19" t="n"/>
      <c r="C482" s="19" t="n"/>
      <c r="D482" s="19" t="n"/>
      <c r="E482" s="20" t="n"/>
      <c r="F482" s="19" t="n"/>
      <c r="G482" s="19" t="n"/>
      <c r="H482" s="19" t="n"/>
      <c r="I482" s="21" t="n"/>
      <c r="J482" s="19" t="n"/>
      <c r="K482" s="21" t="n"/>
      <c r="L482" s="22">
        <f>IF(I482="","",MAX(0,I482-K482))</f>
        <v/>
      </c>
      <c r="M482" s="19" t="n"/>
      <c r="N482" s="18" t="n"/>
      <c r="O482" s="18" t="n"/>
      <c r="P482" s="23" t="n"/>
      <c r="Q482" s="18" t="n"/>
      <c r="R482" s="18" t="n"/>
      <c r="S482" s="18" t="n"/>
      <c r="T482" s="24">
        <f>IF(E482="","",E482-TODAY())</f>
        <v/>
      </c>
      <c r="U482" s="24">
        <f>IF(OR(M482="Paid",M482="Cancelled",E482=""),"",IF(E482&lt;TODAY(),"OVERDUE",IF(E482&lt;=TODAY()+'Setup &amp; Lists'!$M$7,"DUE SOON","")))</f>
        <v/>
      </c>
    </row>
    <row r="483">
      <c r="A483" s="18" t="n"/>
      <c r="B483" s="19" t="n"/>
      <c r="C483" s="19" t="n"/>
      <c r="D483" s="19" t="n"/>
      <c r="E483" s="20" t="n"/>
      <c r="F483" s="19" t="n"/>
      <c r="G483" s="19" t="n"/>
      <c r="H483" s="19" t="n"/>
      <c r="I483" s="21" t="n"/>
      <c r="J483" s="19" t="n"/>
      <c r="K483" s="21" t="n"/>
      <c r="L483" s="22">
        <f>IF(I483="","",MAX(0,I483-K483))</f>
        <v/>
      </c>
      <c r="M483" s="19" t="n"/>
      <c r="N483" s="18" t="n"/>
      <c r="O483" s="18" t="n"/>
      <c r="P483" s="23" t="n"/>
      <c r="Q483" s="18" t="n"/>
      <c r="R483" s="18" t="n"/>
      <c r="S483" s="18" t="n"/>
      <c r="T483" s="24">
        <f>IF(E483="","",E483-TODAY())</f>
        <v/>
      </c>
      <c r="U483" s="24">
        <f>IF(OR(M483="Paid",M483="Cancelled",E483=""),"",IF(E483&lt;TODAY(),"OVERDUE",IF(E483&lt;=TODAY()+'Setup &amp; Lists'!$M$7,"DUE SOON","")))</f>
        <v/>
      </c>
    </row>
    <row r="484">
      <c r="A484" s="18" t="n"/>
      <c r="B484" s="19" t="n"/>
      <c r="C484" s="19" t="n"/>
      <c r="D484" s="19" t="n"/>
      <c r="E484" s="20" t="n"/>
      <c r="F484" s="19" t="n"/>
      <c r="G484" s="19" t="n"/>
      <c r="H484" s="19" t="n"/>
      <c r="I484" s="21" t="n"/>
      <c r="J484" s="19" t="n"/>
      <c r="K484" s="21" t="n"/>
      <c r="L484" s="22">
        <f>IF(I484="","",MAX(0,I484-K484))</f>
        <v/>
      </c>
      <c r="M484" s="19" t="n"/>
      <c r="N484" s="18" t="n"/>
      <c r="O484" s="18" t="n"/>
      <c r="P484" s="23" t="n"/>
      <c r="Q484" s="18" t="n"/>
      <c r="R484" s="18" t="n"/>
      <c r="S484" s="18" t="n"/>
      <c r="T484" s="24">
        <f>IF(E484="","",E484-TODAY())</f>
        <v/>
      </c>
      <c r="U484" s="24">
        <f>IF(OR(M484="Paid",M484="Cancelled",E484=""),"",IF(E484&lt;TODAY(),"OVERDUE",IF(E484&lt;=TODAY()+'Setup &amp; Lists'!$M$7,"DUE SOON","")))</f>
        <v/>
      </c>
    </row>
    <row r="485">
      <c r="A485" s="18" t="n"/>
      <c r="B485" s="19" t="n"/>
      <c r="C485" s="19" t="n"/>
      <c r="D485" s="19" t="n"/>
      <c r="E485" s="20" t="n"/>
      <c r="F485" s="19" t="n"/>
      <c r="G485" s="19" t="n"/>
      <c r="H485" s="19" t="n"/>
      <c r="I485" s="21" t="n"/>
      <c r="J485" s="19" t="n"/>
      <c r="K485" s="21" t="n"/>
      <c r="L485" s="22">
        <f>IF(I485="","",MAX(0,I485-K485))</f>
        <v/>
      </c>
      <c r="M485" s="19" t="n"/>
      <c r="N485" s="18" t="n"/>
      <c r="O485" s="18" t="n"/>
      <c r="P485" s="23" t="n"/>
      <c r="Q485" s="18" t="n"/>
      <c r="R485" s="18" t="n"/>
      <c r="S485" s="18" t="n"/>
      <c r="T485" s="24">
        <f>IF(E485="","",E485-TODAY())</f>
        <v/>
      </c>
      <c r="U485" s="24">
        <f>IF(OR(M485="Paid",M485="Cancelled",E485=""),"",IF(E485&lt;TODAY(),"OVERDUE",IF(E485&lt;=TODAY()+'Setup &amp; Lists'!$M$7,"DUE SOON","")))</f>
        <v/>
      </c>
    </row>
    <row r="486">
      <c r="A486" s="18" t="n"/>
      <c r="B486" s="19" t="n"/>
      <c r="C486" s="19" t="n"/>
      <c r="D486" s="19" t="n"/>
      <c r="E486" s="20" t="n"/>
      <c r="F486" s="19" t="n"/>
      <c r="G486" s="19" t="n"/>
      <c r="H486" s="19" t="n"/>
      <c r="I486" s="21" t="n"/>
      <c r="J486" s="19" t="n"/>
      <c r="K486" s="21" t="n"/>
      <c r="L486" s="22">
        <f>IF(I486="","",MAX(0,I486-K486))</f>
        <v/>
      </c>
      <c r="M486" s="19" t="n"/>
      <c r="N486" s="18" t="n"/>
      <c r="O486" s="18" t="n"/>
      <c r="P486" s="23" t="n"/>
      <c r="Q486" s="18" t="n"/>
      <c r="R486" s="18" t="n"/>
      <c r="S486" s="18" t="n"/>
      <c r="T486" s="24">
        <f>IF(E486="","",E486-TODAY())</f>
        <v/>
      </c>
      <c r="U486" s="24">
        <f>IF(OR(M486="Paid",M486="Cancelled",E486=""),"",IF(E486&lt;TODAY(),"OVERDUE",IF(E486&lt;=TODAY()+'Setup &amp; Lists'!$M$7,"DUE SOON","")))</f>
        <v/>
      </c>
    </row>
    <row r="487">
      <c r="A487" s="18" t="n"/>
      <c r="B487" s="19" t="n"/>
      <c r="C487" s="19" t="n"/>
      <c r="D487" s="19" t="n"/>
      <c r="E487" s="20" t="n"/>
      <c r="F487" s="19" t="n"/>
      <c r="G487" s="19" t="n"/>
      <c r="H487" s="19" t="n"/>
      <c r="I487" s="21" t="n"/>
      <c r="J487" s="19" t="n"/>
      <c r="K487" s="21" t="n"/>
      <c r="L487" s="22">
        <f>IF(I487="","",MAX(0,I487-K487))</f>
        <v/>
      </c>
      <c r="M487" s="19" t="n"/>
      <c r="N487" s="18" t="n"/>
      <c r="O487" s="18" t="n"/>
      <c r="P487" s="23" t="n"/>
      <c r="Q487" s="18" t="n"/>
      <c r="R487" s="18" t="n"/>
      <c r="S487" s="18" t="n"/>
      <c r="T487" s="24">
        <f>IF(E487="","",E487-TODAY())</f>
        <v/>
      </c>
      <c r="U487" s="24">
        <f>IF(OR(M487="Paid",M487="Cancelled",E487=""),"",IF(E487&lt;TODAY(),"OVERDUE",IF(E487&lt;=TODAY()+'Setup &amp; Lists'!$M$7,"DUE SOON","")))</f>
        <v/>
      </c>
    </row>
    <row r="488">
      <c r="A488" s="18" t="n"/>
      <c r="B488" s="19" t="n"/>
      <c r="C488" s="19" t="n"/>
      <c r="D488" s="19" t="n"/>
      <c r="E488" s="20" t="n"/>
      <c r="F488" s="19" t="n"/>
      <c r="G488" s="19" t="n"/>
      <c r="H488" s="19" t="n"/>
      <c r="I488" s="21" t="n"/>
      <c r="J488" s="19" t="n"/>
      <c r="K488" s="21" t="n"/>
      <c r="L488" s="22">
        <f>IF(I488="","",MAX(0,I488-K488))</f>
        <v/>
      </c>
      <c r="M488" s="19" t="n"/>
      <c r="N488" s="18" t="n"/>
      <c r="O488" s="18" t="n"/>
      <c r="P488" s="23" t="n"/>
      <c r="Q488" s="18" t="n"/>
      <c r="R488" s="18" t="n"/>
      <c r="S488" s="18" t="n"/>
      <c r="T488" s="24">
        <f>IF(E488="","",E488-TODAY())</f>
        <v/>
      </c>
      <c r="U488" s="24">
        <f>IF(OR(M488="Paid",M488="Cancelled",E488=""),"",IF(E488&lt;TODAY(),"OVERDUE",IF(E488&lt;=TODAY()+'Setup &amp; Lists'!$M$7,"DUE SOON","")))</f>
        <v/>
      </c>
    </row>
    <row r="489">
      <c r="A489" s="18" t="n"/>
      <c r="B489" s="19" t="n"/>
      <c r="C489" s="19" t="n"/>
      <c r="D489" s="19" t="n"/>
      <c r="E489" s="20" t="n"/>
      <c r="F489" s="19" t="n"/>
      <c r="G489" s="19" t="n"/>
      <c r="H489" s="19" t="n"/>
      <c r="I489" s="21" t="n"/>
      <c r="J489" s="19" t="n"/>
      <c r="K489" s="21" t="n"/>
      <c r="L489" s="22">
        <f>IF(I489="","",MAX(0,I489-K489))</f>
        <v/>
      </c>
      <c r="M489" s="19" t="n"/>
      <c r="N489" s="18" t="n"/>
      <c r="O489" s="18" t="n"/>
      <c r="P489" s="23" t="n"/>
      <c r="Q489" s="18" t="n"/>
      <c r="R489" s="18" t="n"/>
      <c r="S489" s="18" t="n"/>
      <c r="T489" s="24">
        <f>IF(E489="","",E489-TODAY())</f>
        <v/>
      </c>
      <c r="U489" s="24">
        <f>IF(OR(M489="Paid",M489="Cancelled",E489=""),"",IF(E489&lt;TODAY(),"OVERDUE",IF(E489&lt;=TODAY()+'Setup &amp; Lists'!$M$7,"DUE SOON","")))</f>
        <v/>
      </c>
    </row>
    <row r="490">
      <c r="A490" s="18" t="n"/>
      <c r="B490" s="19" t="n"/>
      <c r="C490" s="19" t="n"/>
      <c r="D490" s="19" t="n"/>
      <c r="E490" s="20" t="n"/>
      <c r="F490" s="19" t="n"/>
      <c r="G490" s="19" t="n"/>
      <c r="H490" s="19" t="n"/>
      <c r="I490" s="21" t="n"/>
      <c r="J490" s="19" t="n"/>
      <c r="K490" s="21" t="n"/>
      <c r="L490" s="22">
        <f>IF(I490="","",MAX(0,I490-K490))</f>
        <v/>
      </c>
      <c r="M490" s="19" t="n"/>
      <c r="N490" s="18" t="n"/>
      <c r="O490" s="18" t="n"/>
      <c r="P490" s="23" t="n"/>
      <c r="Q490" s="18" t="n"/>
      <c r="R490" s="18" t="n"/>
      <c r="S490" s="18" t="n"/>
      <c r="T490" s="24">
        <f>IF(E490="","",E490-TODAY())</f>
        <v/>
      </c>
      <c r="U490" s="24">
        <f>IF(OR(M490="Paid",M490="Cancelled",E490=""),"",IF(E490&lt;TODAY(),"OVERDUE",IF(E490&lt;=TODAY()+'Setup &amp; Lists'!$M$7,"DUE SOON","")))</f>
        <v/>
      </c>
    </row>
    <row r="491">
      <c r="A491" s="18" t="n"/>
      <c r="B491" s="19" t="n"/>
      <c r="C491" s="19" t="n"/>
      <c r="D491" s="19" t="n"/>
      <c r="E491" s="20" t="n"/>
      <c r="F491" s="19" t="n"/>
      <c r="G491" s="19" t="n"/>
      <c r="H491" s="19" t="n"/>
      <c r="I491" s="21" t="n"/>
      <c r="J491" s="19" t="n"/>
      <c r="K491" s="21" t="n"/>
      <c r="L491" s="22">
        <f>IF(I491="","",MAX(0,I491-K491))</f>
        <v/>
      </c>
      <c r="M491" s="19" t="n"/>
      <c r="N491" s="18" t="n"/>
      <c r="O491" s="18" t="n"/>
      <c r="P491" s="23" t="n"/>
      <c r="Q491" s="18" t="n"/>
      <c r="R491" s="18" t="n"/>
      <c r="S491" s="18" t="n"/>
      <c r="T491" s="24">
        <f>IF(E491="","",E491-TODAY())</f>
        <v/>
      </c>
      <c r="U491" s="24">
        <f>IF(OR(M491="Paid",M491="Cancelled",E491=""),"",IF(E491&lt;TODAY(),"OVERDUE",IF(E491&lt;=TODAY()+'Setup &amp; Lists'!$M$7,"DUE SOON","")))</f>
        <v/>
      </c>
    </row>
    <row r="492">
      <c r="A492" s="18" t="n"/>
      <c r="B492" s="19" t="n"/>
      <c r="C492" s="19" t="n"/>
      <c r="D492" s="19" t="n"/>
      <c r="E492" s="20" t="n"/>
      <c r="F492" s="19" t="n"/>
      <c r="G492" s="19" t="n"/>
      <c r="H492" s="19" t="n"/>
      <c r="I492" s="21" t="n"/>
      <c r="J492" s="19" t="n"/>
      <c r="K492" s="21" t="n"/>
      <c r="L492" s="22">
        <f>IF(I492="","",MAX(0,I492-K492))</f>
        <v/>
      </c>
      <c r="M492" s="19" t="n"/>
      <c r="N492" s="18" t="n"/>
      <c r="O492" s="18" t="n"/>
      <c r="P492" s="23" t="n"/>
      <c r="Q492" s="18" t="n"/>
      <c r="R492" s="18" t="n"/>
      <c r="S492" s="18" t="n"/>
      <c r="T492" s="24">
        <f>IF(E492="","",E492-TODAY())</f>
        <v/>
      </c>
      <c r="U492" s="24">
        <f>IF(OR(M492="Paid",M492="Cancelled",E492=""),"",IF(E492&lt;TODAY(),"OVERDUE",IF(E492&lt;=TODAY()+'Setup &amp; Lists'!$M$7,"DUE SOON","")))</f>
        <v/>
      </c>
    </row>
    <row r="493">
      <c r="A493" s="18" t="n"/>
      <c r="B493" s="19" t="n"/>
      <c r="C493" s="19" t="n"/>
      <c r="D493" s="19" t="n"/>
      <c r="E493" s="20" t="n"/>
      <c r="F493" s="19" t="n"/>
      <c r="G493" s="19" t="n"/>
      <c r="H493" s="19" t="n"/>
      <c r="I493" s="21" t="n"/>
      <c r="J493" s="19" t="n"/>
      <c r="K493" s="21" t="n"/>
      <c r="L493" s="22">
        <f>IF(I493="","",MAX(0,I493-K493))</f>
        <v/>
      </c>
      <c r="M493" s="19" t="n"/>
      <c r="N493" s="18" t="n"/>
      <c r="O493" s="18" t="n"/>
      <c r="P493" s="23" t="n"/>
      <c r="Q493" s="18" t="n"/>
      <c r="R493" s="18" t="n"/>
      <c r="S493" s="18" t="n"/>
      <c r="T493" s="24">
        <f>IF(E493="","",E493-TODAY())</f>
        <v/>
      </c>
      <c r="U493" s="24">
        <f>IF(OR(M493="Paid",M493="Cancelled",E493=""),"",IF(E493&lt;TODAY(),"OVERDUE",IF(E493&lt;=TODAY()+'Setup &amp; Lists'!$M$7,"DUE SOON","")))</f>
        <v/>
      </c>
    </row>
    <row r="494">
      <c r="A494" s="18" t="n"/>
      <c r="B494" s="19" t="n"/>
      <c r="C494" s="19" t="n"/>
      <c r="D494" s="19" t="n"/>
      <c r="E494" s="20" t="n"/>
      <c r="F494" s="19" t="n"/>
      <c r="G494" s="19" t="n"/>
      <c r="H494" s="19" t="n"/>
      <c r="I494" s="21" t="n"/>
      <c r="J494" s="19" t="n"/>
      <c r="K494" s="21" t="n"/>
      <c r="L494" s="22">
        <f>IF(I494="","",MAX(0,I494-K494))</f>
        <v/>
      </c>
      <c r="M494" s="19" t="n"/>
      <c r="N494" s="18" t="n"/>
      <c r="O494" s="18" t="n"/>
      <c r="P494" s="23" t="n"/>
      <c r="Q494" s="18" t="n"/>
      <c r="R494" s="18" t="n"/>
      <c r="S494" s="18" t="n"/>
      <c r="T494" s="24">
        <f>IF(E494="","",E494-TODAY())</f>
        <v/>
      </c>
      <c r="U494" s="24">
        <f>IF(OR(M494="Paid",M494="Cancelled",E494=""),"",IF(E494&lt;TODAY(),"OVERDUE",IF(E494&lt;=TODAY()+'Setup &amp; Lists'!$M$7,"DUE SOON","")))</f>
        <v/>
      </c>
    </row>
    <row r="495">
      <c r="A495" s="18" t="n"/>
      <c r="B495" s="19" t="n"/>
      <c r="C495" s="19" t="n"/>
      <c r="D495" s="19" t="n"/>
      <c r="E495" s="20" t="n"/>
      <c r="F495" s="19" t="n"/>
      <c r="G495" s="19" t="n"/>
      <c r="H495" s="19" t="n"/>
      <c r="I495" s="21" t="n"/>
      <c r="J495" s="19" t="n"/>
      <c r="K495" s="21" t="n"/>
      <c r="L495" s="22">
        <f>IF(I495="","",MAX(0,I495-K495))</f>
        <v/>
      </c>
      <c r="M495" s="19" t="n"/>
      <c r="N495" s="18" t="n"/>
      <c r="O495" s="18" t="n"/>
      <c r="P495" s="23" t="n"/>
      <c r="Q495" s="18" t="n"/>
      <c r="R495" s="18" t="n"/>
      <c r="S495" s="18" t="n"/>
      <c r="T495" s="24">
        <f>IF(E495="","",E495-TODAY())</f>
        <v/>
      </c>
      <c r="U495" s="24">
        <f>IF(OR(M495="Paid",M495="Cancelled",E495=""),"",IF(E495&lt;TODAY(),"OVERDUE",IF(E495&lt;=TODAY()+'Setup &amp; Lists'!$M$7,"DUE SOON","")))</f>
        <v/>
      </c>
    </row>
    <row r="496">
      <c r="A496" s="18" t="n"/>
      <c r="B496" s="19" t="n"/>
      <c r="C496" s="19" t="n"/>
      <c r="D496" s="19" t="n"/>
      <c r="E496" s="20" t="n"/>
      <c r="F496" s="19" t="n"/>
      <c r="G496" s="19" t="n"/>
      <c r="H496" s="19" t="n"/>
      <c r="I496" s="21" t="n"/>
      <c r="J496" s="19" t="n"/>
      <c r="K496" s="21" t="n"/>
      <c r="L496" s="22">
        <f>IF(I496="","",MAX(0,I496-K496))</f>
        <v/>
      </c>
      <c r="M496" s="19" t="n"/>
      <c r="N496" s="18" t="n"/>
      <c r="O496" s="18" t="n"/>
      <c r="P496" s="23" t="n"/>
      <c r="Q496" s="18" t="n"/>
      <c r="R496" s="18" t="n"/>
      <c r="S496" s="18" t="n"/>
      <c r="T496" s="24">
        <f>IF(E496="","",E496-TODAY())</f>
        <v/>
      </c>
      <c r="U496" s="24">
        <f>IF(OR(M496="Paid",M496="Cancelled",E496=""),"",IF(E496&lt;TODAY(),"OVERDUE",IF(E496&lt;=TODAY()+'Setup &amp; Lists'!$M$7,"DUE SOON","")))</f>
        <v/>
      </c>
    </row>
    <row r="497">
      <c r="A497" s="18" t="n"/>
      <c r="B497" s="19" t="n"/>
      <c r="C497" s="19" t="n"/>
      <c r="D497" s="19" t="n"/>
      <c r="E497" s="20" t="n"/>
      <c r="F497" s="19" t="n"/>
      <c r="G497" s="19" t="n"/>
      <c r="H497" s="19" t="n"/>
      <c r="I497" s="21" t="n"/>
      <c r="J497" s="19" t="n"/>
      <c r="K497" s="21" t="n"/>
      <c r="L497" s="22">
        <f>IF(I497="","",MAX(0,I497-K497))</f>
        <v/>
      </c>
      <c r="M497" s="19" t="n"/>
      <c r="N497" s="18" t="n"/>
      <c r="O497" s="18" t="n"/>
      <c r="P497" s="23" t="n"/>
      <c r="Q497" s="18" t="n"/>
      <c r="R497" s="18" t="n"/>
      <c r="S497" s="18" t="n"/>
      <c r="T497" s="24">
        <f>IF(E497="","",E497-TODAY())</f>
        <v/>
      </c>
      <c r="U497" s="24">
        <f>IF(OR(M497="Paid",M497="Cancelled",E497=""),"",IF(E497&lt;TODAY(),"OVERDUE",IF(E497&lt;=TODAY()+'Setup &amp; Lists'!$M$7,"DUE SOON","")))</f>
        <v/>
      </c>
    </row>
    <row r="498">
      <c r="A498" s="18" t="n"/>
      <c r="B498" s="19" t="n"/>
      <c r="C498" s="19" t="n"/>
      <c r="D498" s="19" t="n"/>
      <c r="E498" s="20" t="n"/>
      <c r="F498" s="19" t="n"/>
      <c r="G498" s="19" t="n"/>
      <c r="H498" s="19" t="n"/>
      <c r="I498" s="21" t="n"/>
      <c r="J498" s="19" t="n"/>
      <c r="K498" s="21" t="n"/>
      <c r="L498" s="22">
        <f>IF(I498="","",MAX(0,I498-K498))</f>
        <v/>
      </c>
      <c r="M498" s="19" t="n"/>
      <c r="N498" s="18" t="n"/>
      <c r="O498" s="18" t="n"/>
      <c r="P498" s="23" t="n"/>
      <c r="Q498" s="18" t="n"/>
      <c r="R498" s="18" t="n"/>
      <c r="S498" s="18" t="n"/>
      <c r="T498" s="24">
        <f>IF(E498="","",E498-TODAY())</f>
        <v/>
      </c>
      <c r="U498" s="24">
        <f>IF(OR(M498="Paid",M498="Cancelled",E498=""),"",IF(E498&lt;TODAY(),"OVERDUE",IF(E498&lt;=TODAY()+'Setup &amp; Lists'!$M$7,"DUE SOON","")))</f>
        <v/>
      </c>
    </row>
    <row r="499">
      <c r="A499" s="18" t="n"/>
      <c r="B499" s="19" t="n"/>
      <c r="C499" s="19" t="n"/>
      <c r="D499" s="19" t="n"/>
      <c r="E499" s="20" t="n"/>
      <c r="F499" s="19" t="n"/>
      <c r="G499" s="19" t="n"/>
      <c r="H499" s="19" t="n"/>
      <c r="I499" s="21" t="n"/>
      <c r="J499" s="19" t="n"/>
      <c r="K499" s="21" t="n"/>
      <c r="L499" s="22">
        <f>IF(I499="","",MAX(0,I499-K499))</f>
        <v/>
      </c>
      <c r="M499" s="19" t="n"/>
      <c r="N499" s="18" t="n"/>
      <c r="O499" s="18" t="n"/>
      <c r="P499" s="23" t="n"/>
      <c r="Q499" s="18" t="n"/>
      <c r="R499" s="18" t="n"/>
      <c r="S499" s="18" t="n"/>
      <c r="T499" s="24">
        <f>IF(E499="","",E499-TODAY())</f>
        <v/>
      </c>
      <c r="U499" s="24">
        <f>IF(OR(M499="Paid",M499="Cancelled",E499=""),"",IF(E499&lt;TODAY(),"OVERDUE",IF(E499&lt;=TODAY()+'Setup &amp; Lists'!$M$7,"DUE SOON","")))</f>
        <v/>
      </c>
    </row>
    <row r="500">
      <c r="A500" s="18" t="n"/>
      <c r="B500" s="19" t="n"/>
      <c r="C500" s="19" t="n"/>
      <c r="D500" s="19" t="n"/>
      <c r="E500" s="20" t="n"/>
      <c r="F500" s="19" t="n"/>
      <c r="G500" s="19" t="n"/>
      <c r="H500" s="19" t="n"/>
      <c r="I500" s="21" t="n"/>
      <c r="J500" s="19" t="n"/>
      <c r="K500" s="21" t="n"/>
      <c r="L500" s="22">
        <f>IF(I500="","",MAX(0,I500-K500))</f>
        <v/>
      </c>
      <c r="M500" s="19" t="n"/>
      <c r="N500" s="18" t="n"/>
      <c r="O500" s="18" t="n"/>
      <c r="P500" s="23" t="n"/>
      <c r="Q500" s="18" t="n"/>
      <c r="R500" s="18" t="n"/>
      <c r="S500" s="18" t="n"/>
      <c r="T500" s="24">
        <f>IF(E500="","",E500-TODAY())</f>
        <v/>
      </c>
      <c r="U500" s="24">
        <f>IF(OR(M500="Paid",M500="Cancelled",E500=""),"",IF(E500&lt;TODAY(),"OVERDUE",IF(E500&lt;=TODAY()+'Setup &amp; Lists'!$M$7,"DUE SOON","")))</f>
        <v/>
      </c>
    </row>
    <row r="501">
      <c r="A501" s="18" t="n"/>
      <c r="B501" s="19" t="n"/>
      <c r="C501" s="19" t="n"/>
      <c r="D501" s="19" t="n"/>
      <c r="E501" s="20" t="n"/>
      <c r="F501" s="19" t="n"/>
      <c r="G501" s="19" t="n"/>
      <c r="H501" s="19" t="n"/>
      <c r="I501" s="21" t="n"/>
      <c r="J501" s="19" t="n"/>
      <c r="K501" s="21" t="n"/>
      <c r="L501" s="22">
        <f>IF(I501="","",MAX(0,I501-K501))</f>
        <v/>
      </c>
      <c r="M501" s="19" t="n"/>
      <c r="N501" s="18" t="n"/>
      <c r="O501" s="18" t="n"/>
      <c r="P501" s="23" t="n"/>
      <c r="Q501" s="18" t="n"/>
      <c r="R501" s="18" t="n"/>
      <c r="S501" s="18" t="n"/>
      <c r="T501" s="24">
        <f>IF(E501="","",E501-TODAY())</f>
        <v/>
      </c>
      <c r="U501" s="24">
        <f>IF(OR(M501="Paid",M501="Cancelled",E501=""),"",IF(E501&lt;TODAY(),"OVERDUE",IF(E501&lt;=TODAY()+'Setup &amp; Lists'!$M$7,"DUE SOON","")))</f>
        <v/>
      </c>
    </row>
    <row r="502">
      <c r="A502" s="18" t="n"/>
      <c r="B502" s="19" t="n"/>
      <c r="C502" s="19" t="n"/>
      <c r="D502" s="19" t="n"/>
      <c r="E502" s="20" t="n"/>
      <c r="F502" s="19" t="n"/>
      <c r="G502" s="19" t="n"/>
      <c r="H502" s="19" t="n"/>
      <c r="I502" s="21" t="n"/>
      <c r="J502" s="19" t="n"/>
      <c r="K502" s="21" t="n"/>
      <c r="L502" s="22">
        <f>IF(I502="","",MAX(0,I502-K502))</f>
        <v/>
      </c>
      <c r="M502" s="19" t="n"/>
      <c r="N502" s="18" t="n"/>
      <c r="O502" s="18" t="n"/>
      <c r="P502" s="23" t="n"/>
      <c r="Q502" s="18" t="n"/>
      <c r="R502" s="18" t="n"/>
      <c r="S502" s="18" t="n"/>
      <c r="T502" s="24">
        <f>IF(E502="","",E502-TODAY())</f>
        <v/>
      </c>
      <c r="U502" s="24">
        <f>IF(OR(M502="Paid",M502="Cancelled",E502=""),"",IF(E502&lt;TODAY(),"OVERDUE",IF(E502&lt;=TODAY()+'Setup &amp; Lists'!$M$7,"DUE SOON","")))</f>
        <v/>
      </c>
    </row>
    <row r="503">
      <c r="A503" s="18" t="n"/>
      <c r="B503" s="19" t="n"/>
      <c r="C503" s="19" t="n"/>
      <c r="D503" s="19" t="n"/>
      <c r="E503" s="20" t="n"/>
      <c r="F503" s="19" t="n"/>
      <c r="G503" s="19" t="n"/>
      <c r="H503" s="19" t="n"/>
      <c r="I503" s="21" t="n"/>
      <c r="J503" s="19" t="n"/>
      <c r="K503" s="21" t="n"/>
      <c r="L503" s="22">
        <f>IF(I503="","",MAX(0,I503-K503))</f>
        <v/>
      </c>
      <c r="M503" s="19" t="n"/>
      <c r="N503" s="18" t="n"/>
      <c r="O503" s="18" t="n"/>
      <c r="P503" s="23" t="n"/>
      <c r="Q503" s="18" t="n"/>
      <c r="R503" s="18" t="n"/>
      <c r="S503" s="18" t="n"/>
      <c r="T503" s="24">
        <f>IF(E503="","",E503-TODAY())</f>
        <v/>
      </c>
      <c r="U503" s="24">
        <f>IF(OR(M503="Paid",M503="Cancelled",E503=""),"",IF(E503&lt;TODAY(),"OVERDUE",IF(E503&lt;=TODAY()+'Setup &amp; Lists'!$M$7,"DUE SOON","")))</f>
        <v/>
      </c>
    </row>
    <row r="504">
      <c r="A504" s="18" t="n"/>
      <c r="B504" s="19" t="n"/>
      <c r="C504" s="19" t="n"/>
      <c r="D504" s="19" t="n"/>
      <c r="E504" s="20" t="n"/>
      <c r="F504" s="19" t="n"/>
      <c r="G504" s="19" t="n"/>
      <c r="H504" s="19" t="n"/>
      <c r="I504" s="21" t="n"/>
      <c r="J504" s="19" t="n"/>
      <c r="K504" s="21" t="n"/>
      <c r="L504" s="22">
        <f>IF(I504="","",MAX(0,I504-K504))</f>
        <v/>
      </c>
      <c r="M504" s="19" t="n"/>
      <c r="N504" s="18" t="n"/>
      <c r="O504" s="18" t="n"/>
      <c r="P504" s="23" t="n"/>
      <c r="Q504" s="18" t="n"/>
      <c r="R504" s="18" t="n"/>
      <c r="S504" s="18" t="n"/>
      <c r="T504" s="24">
        <f>IF(E504="","",E504-TODAY())</f>
        <v/>
      </c>
      <c r="U504" s="24">
        <f>IF(OR(M504="Paid",M504="Cancelled",E504=""),"",IF(E504&lt;TODAY(),"OVERDUE",IF(E504&lt;=TODAY()+'Setup &amp; Lists'!$M$7,"DUE SOON","")))</f>
        <v/>
      </c>
    </row>
  </sheetData>
  <autoFilter ref="A4:U504"/>
  <mergeCells count="2">
    <mergeCell ref="A1:U1"/>
    <mergeCell ref="A2:U2"/>
  </mergeCells>
  <conditionalFormatting sqref="U5:U504">
    <cfRule type="expression" priority="1" dxfId="1">
      <formula>$U5="OVERDUE"</formula>
    </cfRule>
    <cfRule type="expression" priority="2" dxfId="2">
      <formula>$U5="DUE SOON"</formula>
    </cfRule>
  </conditionalFormatting>
  <conditionalFormatting sqref="B5:C504">
    <cfRule type="expression" priority="3" dxfId="3">
      <formula>AND($C5&lt;&gt;"",COUNTIFS($B$5:$B$504,$B5,$C$5:$C$504,$C5)&gt;1)</formula>
    </cfRule>
  </conditionalFormatting>
  <dataValidations count="7">
    <dataValidation sqref="B5:B504" showDropDown="0" showInputMessage="0" showErrorMessage="0" allowBlank="1" errorTitle="Invalid value" error="Select a value from the list." promptTitle="Controlled input" prompt="Choose from the approved setup list." type="list">
      <formula1>='Setup &amp; Lists'!$H$5:$H$10</formula1>
    </dataValidation>
    <dataValidation sqref="D5:D504" showDropDown="0" showInputMessage="0" showErrorMessage="0" allowBlank="1" errorTitle="Invalid value" error="Select a value from the list." promptTitle="Controlled input" prompt="Choose from the approved setup list." type="list">
      <formula1>='Setup &amp; Lists'!$A$5:$A$20</formula1>
    </dataValidation>
    <dataValidation sqref="F5:F504" showDropDown="0" showInputMessage="0" showErrorMessage="0" allowBlank="1" errorTitle="Invalid value" error="Select a value from the list." promptTitle="Controlled input" prompt="Choose from the approved setup list." type="list">
      <formula1>='Setup &amp; Lists'!$B$5:$B$20</formula1>
    </dataValidation>
    <dataValidation sqref="J5:J504" showDropDown="0" showInputMessage="0" showErrorMessage="0" allowBlank="1" errorTitle="Invalid value" error="Select a value from the list." promptTitle="Controlled input" prompt="Choose from the approved setup list." type="list">
      <formula1>='Setup &amp; Lists'!$C$5:$C$15</formula1>
    </dataValidation>
    <dataValidation sqref="M5:M504" showDropDown="0" showInputMessage="0" showErrorMessage="0" allowBlank="1" errorTitle="Invalid value" error="Select a value from the list." promptTitle="Controlled input" prompt="Choose from the approved setup list." type="list">
      <formula1>='Setup &amp; Lists'!$D$5:$D$15</formula1>
    </dataValidation>
    <dataValidation sqref="N5:N504" showDropDown="0" showInputMessage="0" showErrorMessage="0" allowBlank="1" errorTitle="Invalid value" error="Select a value from the list." promptTitle="Controlled input" prompt="Choose from the approved setup list." type="list">
      <formula1>='Setup &amp; Lists'!$F$5:$F$10</formula1>
    </dataValidation>
    <dataValidation sqref="O5:O504" showDropDown="0" showInputMessage="0" showErrorMessage="0" allowBlank="1" errorTitle="Invalid value" error="Select a value from the list." promptTitle="Controlled input" prompt="Choose from the approved setup list." type="list">
      <formula1>='Setup &amp; Lists'!$G$5:$G$6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4" customWidth="1" min="3" max="3"/>
    <col width="22" customWidth="1" min="4" max="4"/>
    <col width="24" customWidth="1" min="5" max="5"/>
    <col width="13" customWidth="1" min="6" max="6"/>
    <col width="13" customWidth="1" min="7" max="7"/>
    <col width="16" customWidth="1" min="8" max="8"/>
    <col width="14" customWidth="1" min="9" max="9"/>
    <col width="13" customWidth="1" min="10" max="10"/>
    <col width="21" customWidth="1" min="11" max="11"/>
    <col width="28" customWidth="1" min="12" max="12"/>
    <col width="13" customWidth="1" min="13" max="13"/>
    <col width="14" customWidth="1" min="14" max="14"/>
    <col width="28" customWidth="1" min="15" max="15"/>
  </cols>
  <sheetData>
    <row r="1" ht="30" customHeight="1">
      <c r="A1" s="1" t="inlineStr">
        <is>
          <t>Cheque Register</t>
        </is>
      </c>
    </row>
    <row r="2" ht="24" customHeight="1">
      <c r="A2" s="2" t="inlineStr">
        <is>
          <t>يرتبط كل شيك بالالتزام الأصلي؛ قيمة الشيك لا تُضاف مرة ثانية إلى الالتزامات</t>
        </is>
      </c>
    </row>
    <row r="4" ht="32" customHeight="1">
      <c r="A4" s="17" t="inlineStr">
        <is>
          <t>Cheque No</t>
        </is>
      </c>
      <c r="B4" s="17" t="inlineStr">
        <is>
          <t>Commitment ID</t>
        </is>
      </c>
      <c r="C4" s="17" t="inlineStr">
        <is>
          <t>Branch</t>
        </is>
      </c>
      <c r="D4" s="17" t="inlineStr">
        <is>
          <t>Bank Account</t>
        </is>
      </c>
      <c r="E4" s="17" t="inlineStr">
        <is>
          <t>Beneficiary</t>
        </is>
      </c>
      <c r="F4" s="17" t="inlineStr">
        <is>
          <t>Issue Date</t>
        </is>
      </c>
      <c r="G4" s="17" t="inlineStr">
        <is>
          <t>Cheque Date</t>
        </is>
      </c>
      <c r="H4" s="17" t="inlineStr">
        <is>
          <t>Amount (AED)</t>
        </is>
      </c>
      <c r="I4" s="17" t="inlineStr">
        <is>
          <t>Status</t>
        </is>
      </c>
      <c r="J4" s="17" t="inlineStr">
        <is>
          <t>Cleared Date</t>
        </is>
      </c>
      <c r="K4" s="17" t="inlineStr">
        <is>
          <t>Replacement Cheque No</t>
        </is>
      </c>
      <c r="L4" s="17" t="inlineStr">
        <is>
          <t>Return Reason</t>
        </is>
      </c>
      <c r="M4" s="17" t="inlineStr">
        <is>
          <t>Days to Due</t>
        </is>
      </c>
      <c r="N4" s="17" t="inlineStr">
        <is>
          <t>Alert</t>
        </is>
      </c>
      <c r="O4" s="17" t="inlineStr">
        <is>
          <t>Notes</t>
        </is>
      </c>
    </row>
    <row r="5">
      <c r="A5" s="18" t="n"/>
      <c r="B5" s="18" t="n"/>
      <c r="C5" s="18" t="n"/>
      <c r="D5" s="18" t="n"/>
      <c r="E5" s="18" t="n"/>
      <c r="F5" s="23" t="n"/>
      <c r="G5" s="23" t="n"/>
      <c r="H5" s="25" t="n"/>
      <c r="I5" s="18" t="n"/>
      <c r="J5" s="23" t="n"/>
      <c r="K5" s="18" t="n"/>
      <c r="L5" s="18" t="n"/>
      <c r="M5" s="24">
        <f>IFERROR(IF(G5="","",G5-TODAY()),"")</f>
        <v/>
      </c>
      <c r="N5" s="24">
        <f>IFERROR(IF(OR(I5="Cleared",I5="Cancelled",G5=""),"",IF(G5&lt;TODAY(),"OVERDUE",IF(G5&lt;=TODAY()+'Setup &amp; Lists'!$M$7,"DUE SOON",""))),"CHECK DATE")</f>
        <v/>
      </c>
      <c r="O5" s="18" t="n"/>
    </row>
    <row r="6">
      <c r="A6" s="18" t="n"/>
      <c r="B6" s="18" t="n"/>
      <c r="C6" s="18" t="n"/>
      <c r="D6" s="18" t="n"/>
      <c r="E6" s="18" t="n"/>
      <c r="F6" s="23" t="n"/>
      <c r="G6" s="23" t="n"/>
      <c r="H6" s="25" t="n"/>
      <c r="I6" s="18" t="n"/>
      <c r="J6" s="23" t="n"/>
      <c r="K6" s="18" t="n"/>
      <c r="L6" s="18" t="n"/>
      <c r="M6" s="24">
        <f>IFERROR(IF(G6="","",G6-TODAY()),"")</f>
        <v/>
      </c>
      <c r="N6" s="24">
        <f>IFERROR(IF(OR(I6="Cleared",I6="Cancelled",G6=""),"",IF(G6&lt;TODAY(),"OVERDUE",IF(G6&lt;=TODAY()+'Setup &amp; Lists'!$M$7,"DUE SOON",""))),"CHECK DATE")</f>
        <v/>
      </c>
      <c r="O6" s="18" t="n"/>
    </row>
    <row r="7">
      <c r="A7" s="18" t="n"/>
      <c r="B7" s="18" t="n"/>
      <c r="C7" s="18" t="n"/>
      <c r="D7" s="18" t="n"/>
      <c r="E7" s="18" t="n"/>
      <c r="F7" s="23" t="n"/>
      <c r="G7" s="23" t="n"/>
      <c r="H7" s="25" t="n"/>
      <c r="I7" s="18" t="n"/>
      <c r="J7" s="23" t="n"/>
      <c r="K7" s="18" t="n"/>
      <c r="L7" s="18" t="n"/>
      <c r="M7" s="24">
        <f>IFERROR(IF(G7="","",G7-TODAY()),"")</f>
        <v/>
      </c>
      <c r="N7" s="24">
        <f>IFERROR(IF(OR(I7="Cleared",I7="Cancelled",G7=""),"",IF(G7&lt;TODAY(),"OVERDUE",IF(G7&lt;=TODAY()+'Setup &amp; Lists'!$M$7,"DUE SOON",""))),"CHECK DATE")</f>
        <v/>
      </c>
      <c r="O7" s="18" t="n"/>
    </row>
    <row r="8">
      <c r="A8" s="18" t="n"/>
      <c r="B8" s="18" t="n"/>
      <c r="C8" s="18" t="n"/>
      <c r="D8" s="18" t="n"/>
      <c r="E8" s="18" t="n"/>
      <c r="F8" s="23" t="n"/>
      <c r="G8" s="23" t="n"/>
      <c r="H8" s="25" t="n"/>
      <c r="I8" s="18" t="n"/>
      <c r="J8" s="23" t="n"/>
      <c r="K8" s="18" t="n"/>
      <c r="L8" s="18" t="n"/>
      <c r="M8" s="24">
        <f>IFERROR(IF(G8="","",G8-TODAY()),"")</f>
        <v/>
      </c>
      <c r="N8" s="24">
        <f>IFERROR(IF(OR(I8="Cleared",I8="Cancelled",G8=""),"",IF(G8&lt;TODAY(),"OVERDUE",IF(G8&lt;=TODAY()+'Setup &amp; Lists'!$M$7,"DUE SOON",""))),"CHECK DATE")</f>
        <v/>
      </c>
      <c r="O8" s="18" t="n"/>
    </row>
    <row r="9">
      <c r="A9" s="18" t="n"/>
      <c r="B9" s="18" t="n"/>
      <c r="C9" s="18" t="n"/>
      <c r="D9" s="18" t="n"/>
      <c r="E9" s="18" t="n"/>
      <c r="F9" s="23" t="n"/>
      <c r="G9" s="23" t="n"/>
      <c r="H9" s="25" t="n"/>
      <c r="I9" s="18" t="n"/>
      <c r="J9" s="23" t="n"/>
      <c r="K9" s="18" t="n"/>
      <c r="L9" s="18" t="n"/>
      <c r="M9" s="24">
        <f>IFERROR(IF(G9="","",G9-TODAY()),"")</f>
        <v/>
      </c>
      <c r="N9" s="24">
        <f>IFERROR(IF(OR(I9="Cleared",I9="Cancelled",G9=""),"",IF(G9&lt;TODAY(),"OVERDUE",IF(G9&lt;=TODAY()+'Setup &amp; Lists'!$M$7,"DUE SOON",""))),"CHECK DATE")</f>
        <v/>
      </c>
      <c r="O9" s="18" t="n"/>
    </row>
    <row r="10">
      <c r="A10" s="18" t="n"/>
      <c r="B10" s="18" t="n"/>
      <c r="C10" s="18" t="n"/>
      <c r="D10" s="18" t="n"/>
      <c r="E10" s="18" t="n"/>
      <c r="F10" s="23" t="n"/>
      <c r="G10" s="23" t="n"/>
      <c r="H10" s="25" t="n"/>
      <c r="I10" s="18" t="n"/>
      <c r="J10" s="23" t="n"/>
      <c r="K10" s="18" t="n"/>
      <c r="L10" s="18" t="n"/>
      <c r="M10" s="24">
        <f>IFERROR(IF(G10="","",G10-TODAY()),"")</f>
        <v/>
      </c>
      <c r="N10" s="24">
        <f>IFERROR(IF(OR(I10="Cleared",I10="Cancelled",G10=""),"",IF(G10&lt;TODAY(),"OVERDUE",IF(G10&lt;=TODAY()+'Setup &amp; Lists'!$M$7,"DUE SOON",""))),"CHECK DATE")</f>
        <v/>
      </c>
      <c r="O10" s="18" t="n"/>
    </row>
    <row r="11">
      <c r="A11" s="18" t="n"/>
      <c r="B11" s="18" t="n"/>
      <c r="C11" s="18" t="n"/>
      <c r="D11" s="18" t="n"/>
      <c r="E11" s="18" t="n"/>
      <c r="F11" s="23" t="n"/>
      <c r="G11" s="23" t="n"/>
      <c r="H11" s="25" t="n"/>
      <c r="I11" s="18" t="n"/>
      <c r="J11" s="23" t="n"/>
      <c r="K11" s="18" t="n"/>
      <c r="L11" s="18" t="n"/>
      <c r="M11" s="24">
        <f>IFERROR(IF(G11="","",G11-TODAY()),"")</f>
        <v/>
      </c>
      <c r="N11" s="24">
        <f>IFERROR(IF(OR(I11="Cleared",I11="Cancelled",G11=""),"",IF(G11&lt;TODAY(),"OVERDUE",IF(G11&lt;=TODAY()+'Setup &amp; Lists'!$M$7,"DUE SOON",""))),"CHECK DATE")</f>
        <v/>
      </c>
      <c r="O11" s="18" t="n"/>
    </row>
    <row r="12">
      <c r="A12" s="18" t="n"/>
      <c r="B12" s="18" t="n"/>
      <c r="C12" s="18" t="n"/>
      <c r="D12" s="18" t="n"/>
      <c r="E12" s="18" t="n"/>
      <c r="F12" s="23" t="n"/>
      <c r="G12" s="23" t="n"/>
      <c r="H12" s="25" t="n"/>
      <c r="I12" s="18" t="n"/>
      <c r="J12" s="23" t="n"/>
      <c r="K12" s="18" t="n"/>
      <c r="L12" s="18" t="n"/>
      <c r="M12" s="24">
        <f>IFERROR(IF(G12="","",G12-TODAY()),"")</f>
        <v/>
      </c>
      <c r="N12" s="24">
        <f>IFERROR(IF(OR(I12="Cleared",I12="Cancelled",G12=""),"",IF(G12&lt;TODAY(),"OVERDUE",IF(G12&lt;=TODAY()+'Setup &amp; Lists'!$M$7,"DUE SOON",""))),"CHECK DATE")</f>
        <v/>
      </c>
      <c r="O12" s="18" t="n"/>
    </row>
    <row r="13">
      <c r="A13" s="18" t="n"/>
      <c r="B13" s="18" t="n"/>
      <c r="C13" s="18" t="n"/>
      <c r="D13" s="18" t="n"/>
      <c r="E13" s="18" t="n"/>
      <c r="F13" s="23" t="n"/>
      <c r="G13" s="23" t="n"/>
      <c r="H13" s="25" t="n"/>
      <c r="I13" s="18" t="n"/>
      <c r="J13" s="23" t="n"/>
      <c r="K13" s="18" t="n"/>
      <c r="L13" s="18" t="n"/>
      <c r="M13" s="24">
        <f>IFERROR(IF(G13="","",G13-TODAY()),"")</f>
        <v/>
      </c>
      <c r="N13" s="24">
        <f>IFERROR(IF(OR(I13="Cleared",I13="Cancelled",G13=""),"",IF(G13&lt;TODAY(),"OVERDUE",IF(G13&lt;=TODAY()+'Setup &amp; Lists'!$M$7,"DUE SOON",""))),"CHECK DATE")</f>
        <v/>
      </c>
      <c r="O13" s="18" t="n"/>
    </row>
    <row r="14">
      <c r="A14" s="18" t="n"/>
      <c r="B14" s="18" t="n"/>
      <c r="C14" s="18" t="n"/>
      <c r="D14" s="18" t="n"/>
      <c r="E14" s="18" t="n"/>
      <c r="F14" s="23" t="n"/>
      <c r="G14" s="23" t="n"/>
      <c r="H14" s="25" t="n"/>
      <c r="I14" s="18" t="n"/>
      <c r="J14" s="23" t="n"/>
      <c r="K14" s="18" t="n"/>
      <c r="L14" s="18" t="n"/>
      <c r="M14" s="24">
        <f>IFERROR(IF(G14="","",G14-TODAY()),"")</f>
        <v/>
      </c>
      <c r="N14" s="24">
        <f>IFERROR(IF(OR(I14="Cleared",I14="Cancelled",G14=""),"",IF(G14&lt;TODAY(),"OVERDUE",IF(G14&lt;=TODAY()+'Setup &amp; Lists'!$M$7,"DUE SOON",""))),"CHECK DATE")</f>
        <v/>
      </c>
      <c r="O14" s="18" t="n"/>
    </row>
    <row r="15">
      <c r="A15" s="18" t="n"/>
      <c r="B15" s="18" t="n"/>
      <c r="C15" s="18" t="n"/>
      <c r="D15" s="18" t="n"/>
      <c r="E15" s="18" t="n"/>
      <c r="F15" s="23" t="n"/>
      <c r="G15" s="23" t="n"/>
      <c r="H15" s="25" t="n"/>
      <c r="I15" s="18" t="n"/>
      <c r="J15" s="23" t="n"/>
      <c r="K15" s="18" t="n"/>
      <c r="L15" s="18" t="n"/>
      <c r="M15" s="24">
        <f>IFERROR(IF(G15="","",G15-TODAY()),"")</f>
        <v/>
      </c>
      <c r="N15" s="24">
        <f>IFERROR(IF(OR(I15="Cleared",I15="Cancelled",G15=""),"",IF(G15&lt;TODAY(),"OVERDUE",IF(G15&lt;=TODAY()+'Setup &amp; Lists'!$M$7,"DUE SOON",""))),"CHECK DATE")</f>
        <v/>
      </c>
      <c r="O15" s="18" t="n"/>
    </row>
    <row r="16">
      <c r="A16" s="18" t="n"/>
      <c r="B16" s="18" t="n"/>
      <c r="C16" s="18" t="n"/>
      <c r="D16" s="18" t="n"/>
      <c r="E16" s="18" t="n"/>
      <c r="F16" s="23" t="n"/>
      <c r="G16" s="23" t="n"/>
      <c r="H16" s="25" t="n"/>
      <c r="I16" s="18" t="n"/>
      <c r="J16" s="23" t="n"/>
      <c r="K16" s="18" t="n"/>
      <c r="L16" s="18" t="n"/>
      <c r="M16" s="24">
        <f>IFERROR(IF(G16="","",G16-TODAY()),"")</f>
        <v/>
      </c>
      <c r="N16" s="24">
        <f>IFERROR(IF(OR(I16="Cleared",I16="Cancelled",G16=""),"",IF(G16&lt;TODAY(),"OVERDUE",IF(G16&lt;=TODAY()+'Setup &amp; Lists'!$M$7,"DUE SOON",""))),"CHECK DATE")</f>
        <v/>
      </c>
      <c r="O16" s="18" t="n"/>
    </row>
    <row r="17">
      <c r="A17" s="18" t="n"/>
      <c r="B17" s="18" t="n"/>
      <c r="C17" s="18" t="n"/>
      <c r="D17" s="18" t="n"/>
      <c r="E17" s="18" t="n"/>
      <c r="F17" s="23" t="n"/>
      <c r="G17" s="23" t="n"/>
      <c r="H17" s="25" t="n"/>
      <c r="I17" s="18" t="n"/>
      <c r="J17" s="23" t="n"/>
      <c r="K17" s="18" t="n"/>
      <c r="L17" s="18" t="n"/>
      <c r="M17" s="24">
        <f>IFERROR(IF(G17="","",G17-TODAY()),"")</f>
        <v/>
      </c>
      <c r="N17" s="24">
        <f>IFERROR(IF(OR(I17="Cleared",I17="Cancelled",G17=""),"",IF(G17&lt;TODAY(),"OVERDUE",IF(G17&lt;=TODAY()+'Setup &amp; Lists'!$M$7,"DUE SOON",""))),"CHECK DATE")</f>
        <v/>
      </c>
      <c r="O17" s="18" t="n"/>
    </row>
    <row r="18">
      <c r="A18" s="18" t="n"/>
      <c r="B18" s="18" t="n"/>
      <c r="C18" s="18" t="n"/>
      <c r="D18" s="18" t="n"/>
      <c r="E18" s="18" t="n"/>
      <c r="F18" s="23" t="n"/>
      <c r="G18" s="23" t="n"/>
      <c r="H18" s="25" t="n"/>
      <c r="I18" s="18" t="n"/>
      <c r="J18" s="23" t="n"/>
      <c r="K18" s="18" t="n"/>
      <c r="L18" s="18" t="n"/>
      <c r="M18" s="24">
        <f>IFERROR(IF(G18="","",G18-TODAY()),"")</f>
        <v/>
      </c>
      <c r="N18" s="24">
        <f>IFERROR(IF(OR(I18="Cleared",I18="Cancelled",G18=""),"",IF(G18&lt;TODAY(),"OVERDUE",IF(G18&lt;=TODAY()+'Setup &amp; Lists'!$M$7,"DUE SOON",""))),"CHECK DATE")</f>
        <v/>
      </c>
      <c r="O18" s="18" t="n"/>
    </row>
    <row r="19">
      <c r="A19" s="18" t="n"/>
      <c r="B19" s="18" t="n"/>
      <c r="C19" s="18" t="n"/>
      <c r="D19" s="18" t="n"/>
      <c r="E19" s="18" t="n"/>
      <c r="F19" s="23" t="n"/>
      <c r="G19" s="23" t="n"/>
      <c r="H19" s="25" t="n"/>
      <c r="I19" s="18" t="n"/>
      <c r="J19" s="23" t="n"/>
      <c r="K19" s="18" t="n"/>
      <c r="L19" s="18" t="n"/>
      <c r="M19" s="24">
        <f>IFERROR(IF(G19="","",G19-TODAY()),"")</f>
        <v/>
      </c>
      <c r="N19" s="24">
        <f>IFERROR(IF(OR(I19="Cleared",I19="Cancelled",G19=""),"",IF(G19&lt;TODAY(),"OVERDUE",IF(G19&lt;=TODAY()+'Setup &amp; Lists'!$M$7,"DUE SOON",""))),"CHECK DATE")</f>
        <v/>
      </c>
      <c r="O19" s="18" t="n"/>
    </row>
    <row r="20">
      <c r="A20" s="18" t="n"/>
      <c r="B20" s="18" t="n"/>
      <c r="C20" s="18" t="n"/>
      <c r="D20" s="18" t="n"/>
      <c r="E20" s="18" t="n"/>
      <c r="F20" s="23" t="n"/>
      <c r="G20" s="23" t="n"/>
      <c r="H20" s="25" t="n"/>
      <c r="I20" s="18" t="n"/>
      <c r="J20" s="23" t="n"/>
      <c r="K20" s="18" t="n"/>
      <c r="L20" s="18" t="n"/>
      <c r="M20" s="24">
        <f>IFERROR(IF(G20="","",G20-TODAY()),"")</f>
        <v/>
      </c>
      <c r="N20" s="24">
        <f>IFERROR(IF(OR(I20="Cleared",I20="Cancelled",G20=""),"",IF(G20&lt;TODAY(),"OVERDUE",IF(G20&lt;=TODAY()+'Setup &amp; Lists'!$M$7,"DUE SOON",""))),"CHECK DATE")</f>
        <v/>
      </c>
      <c r="O20" s="18" t="n"/>
    </row>
    <row r="21">
      <c r="A21" s="18" t="n"/>
      <c r="B21" s="18" t="n"/>
      <c r="C21" s="18" t="n"/>
      <c r="D21" s="18" t="n"/>
      <c r="E21" s="18" t="n"/>
      <c r="F21" s="23" t="n"/>
      <c r="G21" s="23" t="n"/>
      <c r="H21" s="25" t="n"/>
      <c r="I21" s="18" t="n"/>
      <c r="J21" s="23" t="n"/>
      <c r="K21" s="18" t="n"/>
      <c r="L21" s="18" t="n"/>
      <c r="M21" s="24">
        <f>IFERROR(IF(G21="","",G21-TODAY()),"")</f>
        <v/>
      </c>
      <c r="N21" s="24">
        <f>IFERROR(IF(OR(I21="Cleared",I21="Cancelled",G21=""),"",IF(G21&lt;TODAY(),"OVERDUE",IF(G21&lt;=TODAY()+'Setup &amp; Lists'!$M$7,"DUE SOON",""))),"CHECK DATE")</f>
        <v/>
      </c>
      <c r="O21" s="18" t="n"/>
    </row>
    <row r="22">
      <c r="A22" s="18" t="n"/>
      <c r="B22" s="18" t="n"/>
      <c r="C22" s="18" t="n"/>
      <c r="D22" s="18" t="n"/>
      <c r="E22" s="18" t="n"/>
      <c r="F22" s="23" t="n"/>
      <c r="G22" s="23" t="n"/>
      <c r="H22" s="25" t="n"/>
      <c r="I22" s="18" t="n"/>
      <c r="J22" s="23" t="n"/>
      <c r="K22" s="18" t="n"/>
      <c r="L22" s="18" t="n"/>
      <c r="M22" s="24">
        <f>IFERROR(IF(G22="","",G22-TODAY()),"")</f>
        <v/>
      </c>
      <c r="N22" s="24">
        <f>IFERROR(IF(OR(I22="Cleared",I22="Cancelled",G22=""),"",IF(G22&lt;TODAY(),"OVERDUE",IF(G22&lt;=TODAY()+'Setup &amp; Lists'!$M$7,"DUE SOON",""))),"CHECK DATE")</f>
        <v/>
      </c>
      <c r="O22" s="18" t="n"/>
    </row>
    <row r="23">
      <c r="A23" s="18" t="n"/>
      <c r="B23" s="18" t="n"/>
      <c r="C23" s="18" t="n"/>
      <c r="D23" s="18" t="n"/>
      <c r="E23" s="18" t="n"/>
      <c r="F23" s="23" t="n"/>
      <c r="G23" s="23" t="n"/>
      <c r="H23" s="25" t="n"/>
      <c r="I23" s="18" t="n"/>
      <c r="J23" s="23" t="n"/>
      <c r="K23" s="18" t="n"/>
      <c r="L23" s="18" t="n"/>
      <c r="M23" s="24">
        <f>IFERROR(IF(G23="","",G23-TODAY()),"")</f>
        <v/>
      </c>
      <c r="N23" s="24">
        <f>IFERROR(IF(OR(I23="Cleared",I23="Cancelled",G23=""),"",IF(G23&lt;TODAY(),"OVERDUE",IF(G23&lt;=TODAY()+'Setup &amp; Lists'!$M$7,"DUE SOON",""))),"CHECK DATE")</f>
        <v/>
      </c>
      <c r="O23" s="18" t="n"/>
    </row>
    <row r="24">
      <c r="A24" s="18" t="n"/>
      <c r="B24" s="18" t="n"/>
      <c r="C24" s="18" t="n"/>
      <c r="D24" s="18" t="n"/>
      <c r="E24" s="18" t="n"/>
      <c r="F24" s="23" t="n"/>
      <c r="G24" s="23" t="n"/>
      <c r="H24" s="25" t="n"/>
      <c r="I24" s="18" t="n"/>
      <c r="J24" s="23" t="n"/>
      <c r="K24" s="18" t="n"/>
      <c r="L24" s="18" t="n"/>
      <c r="M24" s="24">
        <f>IFERROR(IF(G24="","",G24-TODAY()),"")</f>
        <v/>
      </c>
      <c r="N24" s="24">
        <f>IFERROR(IF(OR(I24="Cleared",I24="Cancelled",G24=""),"",IF(G24&lt;TODAY(),"OVERDUE",IF(G24&lt;=TODAY()+'Setup &amp; Lists'!$M$7,"DUE SOON",""))),"CHECK DATE")</f>
        <v/>
      </c>
      <c r="O24" s="18" t="n"/>
    </row>
    <row r="25">
      <c r="A25" s="18" t="n"/>
      <c r="B25" s="18" t="n"/>
      <c r="C25" s="18" t="n"/>
      <c r="D25" s="18" t="n"/>
      <c r="E25" s="18" t="n"/>
      <c r="F25" s="23" t="n"/>
      <c r="G25" s="23" t="n"/>
      <c r="H25" s="25" t="n"/>
      <c r="I25" s="18" t="n"/>
      <c r="J25" s="23" t="n"/>
      <c r="K25" s="18" t="n"/>
      <c r="L25" s="18" t="n"/>
      <c r="M25" s="24">
        <f>IFERROR(IF(G25="","",G25-TODAY()),"")</f>
        <v/>
      </c>
      <c r="N25" s="24">
        <f>IFERROR(IF(OR(I25="Cleared",I25="Cancelled",G25=""),"",IF(G25&lt;TODAY(),"OVERDUE",IF(G25&lt;=TODAY()+'Setup &amp; Lists'!$M$7,"DUE SOON",""))),"CHECK DATE")</f>
        <v/>
      </c>
      <c r="O25" s="18" t="n"/>
    </row>
    <row r="26">
      <c r="A26" s="18" t="n"/>
      <c r="B26" s="18" t="n"/>
      <c r="C26" s="18" t="n"/>
      <c r="D26" s="18" t="n"/>
      <c r="E26" s="18" t="n"/>
      <c r="F26" s="23" t="n"/>
      <c r="G26" s="23" t="n"/>
      <c r="H26" s="25" t="n"/>
      <c r="I26" s="18" t="n"/>
      <c r="J26" s="23" t="n"/>
      <c r="K26" s="18" t="n"/>
      <c r="L26" s="18" t="n"/>
      <c r="M26" s="24">
        <f>IFERROR(IF(G26="","",G26-TODAY()),"")</f>
        <v/>
      </c>
      <c r="N26" s="24">
        <f>IFERROR(IF(OR(I26="Cleared",I26="Cancelled",G26=""),"",IF(G26&lt;TODAY(),"OVERDUE",IF(G26&lt;=TODAY()+'Setup &amp; Lists'!$M$7,"DUE SOON",""))),"CHECK DATE")</f>
        <v/>
      </c>
      <c r="O26" s="18" t="n"/>
    </row>
    <row r="27">
      <c r="A27" s="18" t="n"/>
      <c r="B27" s="18" t="n"/>
      <c r="C27" s="18" t="n"/>
      <c r="D27" s="18" t="n"/>
      <c r="E27" s="18" t="n"/>
      <c r="F27" s="23" t="n"/>
      <c r="G27" s="23" t="n"/>
      <c r="H27" s="25" t="n"/>
      <c r="I27" s="18" t="n"/>
      <c r="J27" s="23" t="n"/>
      <c r="K27" s="18" t="n"/>
      <c r="L27" s="18" t="n"/>
      <c r="M27" s="24">
        <f>IFERROR(IF(G27="","",G27-TODAY()),"")</f>
        <v/>
      </c>
      <c r="N27" s="24">
        <f>IFERROR(IF(OR(I27="Cleared",I27="Cancelled",G27=""),"",IF(G27&lt;TODAY(),"OVERDUE",IF(G27&lt;=TODAY()+'Setup &amp; Lists'!$M$7,"DUE SOON",""))),"CHECK DATE")</f>
        <v/>
      </c>
      <c r="O27" s="18" t="n"/>
    </row>
    <row r="28">
      <c r="A28" s="18" t="n"/>
      <c r="B28" s="18" t="n"/>
      <c r="C28" s="18" t="n"/>
      <c r="D28" s="18" t="n"/>
      <c r="E28" s="18" t="n"/>
      <c r="F28" s="23" t="n"/>
      <c r="G28" s="23" t="n"/>
      <c r="H28" s="25" t="n"/>
      <c r="I28" s="18" t="n"/>
      <c r="J28" s="23" t="n"/>
      <c r="K28" s="18" t="n"/>
      <c r="L28" s="18" t="n"/>
      <c r="M28" s="24">
        <f>IFERROR(IF(G28="","",G28-TODAY()),"")</f>
        <v/>
      </c>
      <c r="N28" s="24">
        <f>IFERROR(IF(OR(I28="Cleared",I28="Cancelled",G28=""),"",IF(G28&lt;TODAY(),"OVERDUE",IF(G28&lt;=TODAY()+'Setup &amp; Lists'!$M$7,"DUE SOON",""))),"CHECK DATE")</f>
        <v/>
      </c>
      <c r="O28" s="18" t="n"/>
    </row>
    <row r="29">
      <c r="A29" s="18" t="n"/>
      <c r="B29" s="18" t="n"/>
      <c r="C29" s="18" t="n"/>
      <c r="D29" s="18" t="n"/>
      <c r="E29" s="18" t="n"/>
      <c r="F29" s="23" t="n"/>
      <c r="G29" s="23" t="n"/>
      <c r="H29" s="25" t="n"/>
      <c r="I29" s="18" t="n"/>
      <c r="J29" s="23" t="n"/>
      <c r="K29" s="18" t="n"/>
      <c r="L29" s="18" t="n"/>
      <c r="M29" s="24">
        <f>IFERROR(IF(G29="","",G29-TODAY()),"")</f>
        <v/>
      </c>
      <c r="N29" s="24">
        <f>IFERROR(IF(OR(I29="Cleared",I29="Cancelled",G29=""),"",IF(G29&lt;TODAY(),"OVERDUE",IF(G29&lt;=TODAY()+'Setup &amp; Lists'!$M$7,"DUE SOON",""))),"CHECK DATE")</f>
        <v/>
      </c>
      <c r="O29" s="18" t="n"/>
    </row>
    <row r="30">
      <c r="A30" s="18" t="n"/>
      <c r="B30" s="18" t="n"/>
      <c r="C30" s="18" t="n"/>
      <c r="D30" s="18" t="n"/>
      <c r="E30" s="18" t="n"/>
      <c r="F30" s="23" t="n"/>
      <c r="G30" s="23" t="n"/>
      <c r="H30" s="25" t="n"/>
      <c r="I30" s="18" t="n"/>
      <c r="J30" s="23" t="n"/>
      <c r="K30" s="18" t="n"/>
      <c r="L30" s="18" t="n"/>
      <c r="M30" s="24">
        <f>IFERROR(IF(G30="","",G30-TODAY()),"")</f>
        <v/>
      </c>
      <c r="N30" s="24">
        <f>IFERROR(IF(OR(I30="Cleared",I30="Cancelled",G30=""),"",IF(G30&lt;TODAY(),"OVERDUE",IF(G30&lt;=TODAY()+'Setup &amp; Lists'!$M$7,"DUE SOON",""))),"CHECK DATE")</f>
        <v/>
      </c>
      <c r="O30" s="18" t="n"/>
    </row>
    <row r="31">
      <c r="A31" s="18" t="n"/>
      <c r="B31" s="18" t="n"/>
      <c r="C31" s="18" t="n"/>
      <c r="D31" s="18" t="n"/>
      <c r="E31" s="18" t="n"/>
      <c r="F31" s="23" t="n"/>
      <c r="G31" s="23" t="n"/>
      <c r="H31" s="25" t="n"/>
      <c r="I31" s="18" t="n"/>
      <c r="J31" s="23" t="n"/>
      <c r="K31" s="18" t="n"/>
      <c r="L31" s="18" t="n"/>
      <c r="M31" s="24">
        <f>IFERROR(IF(G31="","",G31-TODAY()),"")</f>
        <v/>
      </c>
      <c r="N31" s="24">
        <f>IFERROR(IF(OR(I31="Cleared",I31="Cancelled",G31=""),"",IF(G31&lt;TODAY(),"OVERDUE",IF(G31&lt;=TODAY()+'Setup &amp; Lists'!$M$7,"DUE SOON",""))),"CHECK DATE")</f>
        <v/>
      </c>
      <c r="O31" s="18" t="n"/>
    </row>
    <row r="32">
      <c r="A32" s="18" t="n"/>
      <c r="B32" s="18" t="n"/>
      <c r="C32" s="18" t="n"/>
      <c r="D32" s="18" t="n"/>
      <c r="E32" s="18" t="n"/>
      <c r="F32" s="23" t="n"/>
      <c r="G32" s="23" t="n"/>
      <c r="H32" s="25" t="n"/>
      <c r="I32" s="18" t="n"/>
      <c r="J32" s="23" t="n"/>
      <c r="K32" s="18" t="n"/>
      <c r="L32" s="18" t="n"/>
      <c r="M32" s="24">
        <f>IFERROR(IF(G32="","",G32-TODAY()),"")</f>
        <v/>
      </c>
      <c r="N32" s="24">
        <f>IFERROR(IF(OR(I32="Cleared",I32="Cancelled",G32=""),"",IF(G32&lt;TODAY(),"OVERDUE",IF(G32&lt;=TODAY()+'Setup &amp; Lists'!$M$7,"DUE SOON",""))),"CHECK DATE")</f>
        <v/>
      </c>
      <c r="O32" s="18" t="n"/>
    </row>
    <row r="33">
      <c r="A33" s="18" t="n"/>
      <c r="B33" s="18" t="n"/>
      <c r="C33" s="18" t="n"/>
      <c r="D33" s="18" t="n"/>
      <c r="E33" s="18" t="n"/>
      <c r="F33" s="23" t="n"/>
      <c r="G33" s="23" t="n"/>
      <c r="H33" s="25" t="n"/>
      <c r="I33" s="18" t="n"/>
      <c r="J33" s="23" t="n"/>
      <c r="K33" s="18" t="n"/>
      <c r="L33" s="18" t="n"/>
      <c r="M33" s="24">
        <f>IFERROR(IF(G33="","",G33-TODAY()),"")</f>
        <v/>
      </c>
      <c r="N33" s="24">
        <f>IFERROR(IF(OR(I33="Cleared",I33="Cancelled",G33=""),"",IF(G33&lt;TODAY(),"OVERDUE",IF(G33&lt;=TODAY()+'Setup &amp; Lists'!$M$7,"DUE SOON",""))),"CHECK DATE")</f>
        <v/>
      </c>
      <c r="O33" s="18" t="n"/>
    </row>
    <row r="34">
      <c r="A34" s="18" t="n"/>
      <c r="B34" s="18" t="n"/>
      <c r="C34" s="18" t="n"/>
      <c r="D34" s="18" t="n"/>
      <c r="E34" s="18" t="n"/>
      <c r="F34" s="23" t="n"/>
      <c r="G34" s="23" t="n"/>
      <c r="H34" s="25" t="n"/>
      <c r="I34" s="18" t="n"/>
      <c r="J34" s="23" t="n"/>
      <c r="K34" s="18" t="n"/>
      <c r="L34" s="18" t="n"/>
      <c r="M34" s="24">
        <f>IFERROR(IF(G34="","",G34-TODAY()),"")</f>
        <v/>
      </c>
      <c r="N34" s="24">
        <f>IFERROR(IF(OR(I34="Cleared",I34="Cancelled",G34=""),"",IF(G34&lt;TODAY(),"OVERDUE",IF(G34&lt;=TODAY()+'Setup &amp; Lists'!$M$7,"DUE SOON",""))),"CHECK DATE")</f>
        <v/>
      </c>
      <c r="O34" s="18" t="n"/>
    </row>
    <row r="35">
      <c r="A35" s="18" t="n"/>
      <c r="B35" s="18" t="n"/>
      <c r="C35" s="18" t="n"/>
      <c r="D35" s="18" t="n"/>
      <c r="E35" s="18" t="n"/>
      <c r="F35" s="23" t="n"/>
      <c r="G35" s="23" t="n"/>
      <c r="H35" s="25" t="n"/>
      <c r="I35" s="18" t="n"/>
      <c r="J35" s="23" t="n"/>
      <c r="K35" s="18" t="n"/>
      <c r="L35" s="18" t="n"/>
      <c r="M35" s="24">
        <f>IFERROR(IF(G35="","",G35-TODAY()),"")</f>
        <v/>
      </c>
      <c r="N35" s="24">
        <f>IFERROR(IF(OR(I35="Cleared",I35="Cancelled",G35=""),"",IF(G35&lt;TODAY(),"OVERDUE",IF(G35&lt;=TODAY()+'Setup &amp; Lists'!$M$7,"DUE SOON",""))),"CHECK DATE")</f>
        <v/>
      </c>
      <c r="O35" s="18" t="n"/>
    </row>
    <row r="36">
      <c r="A36" s="18" t="n"/>
      <c r="B36" s="18" t="n"/>
      <c r="C36" s="18" t="n"/>
      <c r="D36" s="18" t="n"/>
      <c r="E36" s="18" t="n"/>
      <c r="F36" s="23" t="n"/>
      <c r="G36" s="23" t="n"/>
      <c r="H36" s="25" t="n"/>
      <c r="I36" s="18" t="n"/>
      <c r="J36" s="23" t="n"/>
      <c r="K36" s="18" t="n"/>
      <c r="L36" s="18" t="n"/>
      <c r="M36" s="24">
        <f>IFERROR(IF(G36="","",G36-TODAY()),"")</f>
        <v/>
      </c>
      <c r="N36" s="24">
        <f>IFERROR(IF(OR(I36="Cleared",I36="Cancelled",G36=""),"",IF(G36&lt;TODAY(),"OVERDUE",IF(G36&lt;=TODAY()+'Setup &amp; Lists'!$M$7,"DUE SOON",""))),"CHECK DATE")</f>
        <v/>
      </c>
      <c r="O36" s="18" t="n"/>
    </row>
    <row r="37">
      <c r="A37" s="18" t="n"/>
      <c r="B37" s="18" t="n"/>
      <c r="C37" s="18" t="n"/>
      <c r="D37" s="18" t="n"/>
      <c r="E37" s="18" t="n"/>
      <c r="F37" s="23" t="n"/>
      <c r="G37" s="23" t="n"/>
      <c r="H37" s="25" t="n"/>
      <c r="I37" s="18" t="n"/>
      <c r="J37" s="23" t="n"/>
      <c r="K37" s="18" t="n"/>
      <c r="L37" s="18" t="n"/>
      <c r="M37" s="24">
        <f>IFERROR(IF(G37="","",G37-TODAY()),"")</f>
        <v/>
      </c>
      <c r="N37" s="24">
        <f>IFERROR(IF(OR(I37="Cleared",I37="Cancelled",G37=""),"",IF(G37&lt;TODAY(),"OVERDUE",IF(G37&lt;=TODAY()+'Setup &amp; Lists'!$M$7,"DUE SOON",""))),"CHECK DATE")</f>
        <v/>
      </c>
      <c r="O37" s="18" t="n"/>
    </row>
    <row r="38">
      <c r="A38" s="18" t="n"/>
      <c r="B38" s="18" t="n"/>
      <c r="C38" s="18" t="n"/>
      <c r="D38" s="18" t="n"/>
      <c r="E38" s="18" t="n"/>
      <c r="F38" s="23" t="n"/>
      <c r="G38" s="23" t="n"/>
      <c r="H38" s="25" t="n"/>
      <c r="I38" s="18" t="n"/>
      <c r="J38" s="23" t="n"/>
      <c r="K38" s="18" t="n"/>
      <c r="L38" s="18" t="n"/>
      <c r="M38" s="24">
        <f>IFERROR(IF(G38="","",G38-TODAY()),"")</f>
        <v/>
      </c>
      <c r="N38" s="24">
        <f>IFERROR(IF(OR(I38="Cleared",I38="Cancelled",G38=""),"",IF(G38&lt;TODAY(),"OVERDUE",IF(G38&lt;=TODAY()+'Setup &amp; Lists'!$M$7,"DUE SOON",""))),"CHECK DATE")</f>
        <v/>
      </c>
      <c r="O38" s="18" t="n"/>
    </row>
    <row r="39">
      <c r="A39" s="18" t="n"/>
      <c r="B39" s="18" t="n"/>
      <c r="C39" s="18" t="n"/>
      <c r="D39" s="18" t="n"/>
      <c r="E39" s="18" t="n"/>
      <c r="F39" s="23" t="n"/>
      <c r="G39" s="23" t="n"/>
      <c r="H39" s="25" t="n"/>
      <c r="I39" s="18" t="n"/>
      <c r="J39" s="23" t="n"/>
      <c r="K39" s="18" t="n"/>
      <c r="L39" s="18" t="n"/>
      <c r="M39" s="24">
        <f>IFERROR(IF(G39="","",G39-TODAY()),"")</f>
        <v/>
      </c>
      <c r="N39" s="24">
        <f>IFERROR(IF(OR(I39="Cleared",I39="Cancelled",G39=""),"",IF(G39&lt;TODAY(),"OVERDUE",IF(G39&lt;=TODAY()+'Setup &amp; Lists'!$M$7,"DUE SOON",""))),"CHECK DATE")</f>
        <v/>
      </c>
      <c r="O39" s="18" t="n"/>
    </row>
    <row r="40">
      <c r="A40" s="18" t="n"/>
      <c r="B40" s="18" t="n"/>
      <c r="C40" s="18" t="n"/>
      <c r="D40" s="18" t="n"/>
      <c r="E40" s="18" t="n"/>
      <c r="F40" s="23" t="n"/>
      <c r="G40" s="23" t="n"/>
      <c r="H40" s="25" t="n"/>
      <c r="I40" s="18" t="n"/>
      <c r="J40" s="23" t="n"/>
      <c r="K40" s="18" t="n"/>
      <c r="L40" s="18" t="n"/>
      <c r="M40" s="24">
        <f>IFERROR(IF(G40="","",G40-TODAY()),"")</f>
        <v/>
      </c>
      <c r="N40" s="24">
        <f>IFERROR(IF(OR(I40="Cleared",I40="Cancelled",G40=""),"",IF(G40&lt;TODAY(),"OVERDUE",IF(G40&lt;=TODAY()+'Setup &amp; Lists'!$M$7,"DUE SOON",""))),"CHECK DATE")</f>
        <v/>
      </c>
      <c r="O40" s="18" t="n"/>
    </row>
    <row r="41">
      <c r="A41" s="18" t="n"/>
      <c r="B41" s="18" t="n"/>
      <c r="C41" s="18" t="n"/>
      <c r="D41" s="18" t="n"/>
      <c r="E41" s="18" t="n"/>
      <c r="F41" s="23" t="n"/>
      <c r="G41" s="23" t="n"/>
      <c r="H41" s="25" t="n"/>
      <c r="I41" s="18" t="n"/>
      <c r="J41" s="23" t="n"/>
      <c r="K41" s="18" t="n"/>
      <c r="L41" s="18" t="n"/>
      <c r="M41" s="24">
        <f>IFERROR(IF(G41="","",G41-TODAY()),"")</f>
        <v/>
      </c>
      <c r="N41" s="24">
        <f>IFERROR(IF(OR(I41="Cleared",I41="Cancelled",G41=""),"",IF(G41&lt;TODAY(),"OVERDUE",IF(G41&lt;=TODAY()+'Setup &amp; Lists'!$M$7,"DUE SOON",""))),"CHECK DATE")</f>
        <v/>
      </c>
      <c r="O41" s="18" t="n"/>
    </row>
    <row r="42">
      <c r="A42" s="18" t="n"/>
      <c r="B42" s="18" t="n"/>
      <c r="C42" s="18" t="n"/>
      <c r="D42" s="18" t="n"/>
      <c r="E42" s="18" t="n"/>
      <c r="F42" s="23" t="n"/>
      <c r="G42" s="23" t="n"/>
      <c r="H42" s="25" t="n"/>
      <c r="I42" s="18" t="n"/>
      <c r="J42" s="23" t="n"/>
      <c r="K42" s="18" t="n"/>
      <c r="L42" s="18" t="n"/>
      <c r="M42" s="24">
        <f>IFERROR(IF(G42="","",G42-TODAY()),"")</f>
        <v/>
      </c>
      <c r="N42" s="24">
        <f>IFERROR(IF(OR(I42="Cleared",I42="Cancelled",G42=""),"",IF(G42&lt;TODAY(),"OVERDUE",IF(G42&lt;=TODAY()+'Setup &amp; Lists'!$M$7,"DUE SOON",""))),"CHECK DATE")</f>
        <v/>
      </c>
      <c r="O42" s="18" t="n"/>
    </row>
    <row r="43">
      <c r="A43" s="18" t="n"/>
      <c r="B43" s="18" t="n"/>
      <c r="C43" s="18" t="n"/>
      <c r="D43" s="18" t="n"/>
      <c r="E43" s="18" t="n"/>
      <c r="F43" s="23" t="n"/>
      <c r="G43" s="23" t="n"/>
      <c r="H43" s="25" t="n"/>
      <c r="I43" s="18" t="n"/>
      <c r="J43" s="23" t="n"/>
      <c r="K43" s="18" t="n"/>
      <c r="L43" s="18" t="n"/>
      <c r="M43" s="24">
        <f>IFERROR(IF(G43="","",G43-TODAY()),"")</f>
        <v/>
      </c>
      <c r="N43" s="24">
        <f>IFERROR(IF(OR(I43="Cleared",I43="Cancelled",G43=""),"",IF(G43&lt;TODAY(),"OVERDUE",IF(G43&lt;=TODAY()+'Setup &amp; Lists'!$M$7,"DUE SOON",""))),"CHECK DATE")</f>
        <v/>
      </c>
      <c r="O43" s="18" t="n"/>
    </row>
    <row r="44">
      <c r="A44" s="18" t="n"/>
      <c r="B44" s="18" t="n"/>
      <c r="C44" s="18" t="n"/>
      <c r="D44" s="18" t="n"/>
      <c r="E44" s="18" t="n"/>
      <c r="F44" s="23" t="n"/>
      <c r="G44" s="23" t="n"/>
      <c r="H44" s="25" t="n"/>
      <c r="I44" s="18" t="n"/>
      <c r="J44" s="23" t="n"/>
      <c r="K44" s="18" t="n"/>
      <c r="L44" s="18" t="n"/>
      <c r="M44" s="24">
        <f>IFERROR(IF(G44="","",G44-TODAY()),"")</f>
        <v/>
      </c>
      <c r="N44" s="24">
        <f>IFERROR(IF(OR(I44="Cleared",I44="Cancelled",G44=""),"",IF(G44&lt;TODAY(),"OVERDUE",IF(G44&lt;=TODAY()+'Setup &amp; Lists'!$M$7,"DUE SOON",""))),"CHECK DATE")</f>
        <v/>
      </c>
      <c r="O44" s="18" t="n"/>
    </row>
    <row r="45">
      <c r="A45" s="18" t="n"/>
      <c r="B45" s="18" t="n"/>
      <c r="C45" s="18" t="n"/>
      <c r="D45" s="18" t="n"/>
      <c r="E45" s="18" t="n"/>
      <c r="F45" s="23" t="n"/>
      <c r="G45" s="23" t="n"/>
      <c r="H45" s="25" t="n"/>
      <c r="I45" s="18" t="n"/>
      <c r="J45" s="23" t="n"/>
      <c r="K45" s="18" t="n"/>
      <c r="L45" s="18" t="n"/>
      <c r="M45" s="24">
        <f>IFERROR(IF(G45="","",G45-TODAY()),"")</f>
        <v/>
      </c>
      <c r="N45" s="24">
        <f>IFERROR(IF(OR(I45="Cleared",I45="Cancelled",G45=""),"",IF(G45&lt;TODAY(),"OVERDUE",IF(G45&lt;=TODAY()+'Setup &amp; Lists'!$M$7,"DUE SOON",""))),"CHECK DATE")</f>
        <v/>
      </c>
      <c r="O45" s="18" t="n"/>
    </row>
    <row r="46">
      <c r="A46" s="18" t="n"/>
      <c r="B46" s="18" t="n"/>
      <c r="C46" s="18" t="n"/>
      <c r="D46" s="18" t="n"/>
      <c r="E46" s="18" t="n"/>
      <c r="F46" s="23" t="n"/>
      <c r="G46" s="23" t="n"/>
      <c r="H46" s="25" t="n"/>
      <c r="I46" s="18" t="n"/>
      <c r="J46" s="23" t="n"/>
      <c r="K46" s="18" t="n"/>
      <c r="L46" s="18" t="n"/>
      <c r="M46" s="24">
        <f>IFERROR(IF(G46="","",G46-TODAY()),"")</f>
        <v/>
      </c>
      <c r="N46" s="24">
        <f>IFERROR(IF(OR(I46="Cleared",I46="Cancelled",G46=""),"",IF(G46&lt;TODAY(),"OVERDUE",IF(G46&lt;=TODAY()+'Setup &amp; Lists'!$M$7,"DUE SOON",""))),"CHECK DATE")</f>
        <v/>
      </c>
      <c r="O46" s="18" t="n"/>
    </row>
    <row r="47">
      <c r="A47" s="18" t="n"/>
      <c r="B47" s="18" t="n"/>
      <c r="C47" s="18" t="n"/>
      <c r="D47" s="18" t="n"/>
      <c r="E47" s="18" t="n"/>
      <c r="F47" s="23" t="n"/>
      <c r="G47" s="23" t="n"/>
      <c r="H47" s="25" t="n"/>
      <c r="I47" s="18" t="n"/>
      <c r="J47" s="23" t="n"/>
      <c r="K47" s="18" t="n"/>
      <c r="L47" s="18" t="n"/>
      <c r="M47" s="24">
        <f>IFERROR(IF(G47="","",G47-TODAY()),"")</f>
        <v/>
      </c>
      <c r="N47" s="24">
        <f>IFERROR(IF(OR(I47="Cleared",I47="Cancelled",G47=""),"",IF(G47&lt;TODAY(),"OVERDUE",IF(G47&lt;=TODAY()+'Setup &amp; Lists'!$M$7,"DUE SOON",""))),"CHECK DATE")</f>
        <v/>
      </c>
      <c r="O47" s="18" t="n"/>
    </row>
    <row r="48">
      <c r="A48" s="18" t="n"/>
      <c r="B48" s="18" t="n"/>
      <c r="C48" s="18" t="n"/>
      <c r="D48" s="18" t="n"/>
      <c r="E48" s="18" t="n"/>
      <c r="F48" s="23" t="n"/>
      <c r="G48" s="23" t="n"/>
      <c r="H48" s="25" t="n"/>
      <c r="I48" s="18" t="n"/>
      <c r="J48" s="23" t="n"/>
      <c r="K48" s="18" t="n"/>
      <c r="L48" s="18" t="n"/>
      <c r="M48" s="24">
        <f>IFERROR(IF(G48="","",G48-TODAY()),"")</f>
        <v/>
      </c>
      <c r="N48" s="24">
        <f>IFERROR(IF(OR(I48="Cleared",I48="Cancelled",G48=""),"",IF(G48&lt;TODAY(),"OVERDUE",IF(G48&lt;=TODAY()+'Setup &amp; Lists'!$M$7,"DUE SOON",""))),"CHECK DATE")</f>
        <v/>
      </c>
      <c r="O48" s="18" t="n"/>
    </row>
    <row r="49">
      <c r="A49" s="18" t="n"/>
      <c r="B49" s="18" t="n"/>
      <c r="C49" s="18" t="n"/>
      <c r="D49" s="18" t="n"/>
      <c r="E49" s="18" t="n"/>
      <c r="F49" s="23" t="n"/>
      <c r="G49" s="23" t="n"/>
      <c r="H49" s="25" t="n"/>
      <c r="I49" s="18" t="n"/>
      <c r="J49" s="23" t="n"/>
      <c r="K49" s="18" t="n"/>
      <c r="L49" s="18" t="n"/>
      <c r="M49" s="24">
        <f>IFERROR(IF(G49="","",G49-TODAY()),"")</f>
        <v/>
      </c>
      <c r="N49" s="24">
        <f>IFERROR(IF(OR(I49="Cleared",I49="Cancelled",G49=""),"",IF(G49&lt;TODAY(),"OVERDUE",IF(G49&lt;=TODAY()+'Setup &amp; Lists'!$M$7,"DUE SOON",""))),"CHECK DATE")</f>
        <v/>
      </c>
      <c r="O49" s="18" t="n"/>
    </row>
    <row r="50">
      <c r="A50" s="18" t="n"/>
      <c r="B50" s="18" t="n"/>
      <c r="C50" s="18" t="n"/>
      <c r="D50" s="18" t="n"/>
      <c r="E50" s="18" t="n"/>
      <c r="F50" s="23" t="n"/>
      <c r="G50" s="23" t="n"/>
      <c r="H50" s="25" t="n"/>
      <c r="I50" s="18" t="n"/>
      <c r="J50" s="23" t="n"/>
      <c r="K50" s="18" t="n"/>
      <c r="L50" s="18" t="n"/>
      <c r="M50" s="24">
        <f>IFERROR(IF(G50="","",G50-TODAY()),"")</f>
        <v/>
      </c>
      <c r="N50" s="24">
        <f>IFERROR(IF(OR(I50="Cleared",I50="Cancelled",G50=""),"",IF(G50&lt;TODAY(),"OVERDUE",IF(G50&lt;=TODAY()+'Setup &amp; Lists'!$M$7,"DUE SOON",""))),"CHECK DATE")</f>
        <v/>
      </c>
      <c r="O50" s="18" t="n"/>
    </row>
    <row r="51">
      <c r="A51" s="18" t="n"/>
      <c r="B51" s="18" t="n"/>
      <c r="C51" s="18" t="n"/>
      <c r="D51" s="18" t="n"/>
      <c r="E51" s="18" t="n"/>
      <c r="F51" s="23" t="n"/>
      <c r="G51" s="23" t="n"/>
      <c r="H51" s="25" t="n"/>
      <c r="I51" s="18" t="n"/>
      <c r="J51" s="23" t="n"/>
      <c r="K51" s="18" t="n"/>
      <c r="L51" s="18" t="n"/>
      <c r="M51" s="24">
        <f>IFERROR(IF(G51="","",G51-TODAY()),"")</f>
        <v/>
      </c>
      <c r="N51" s="24">
        <f>IFERROR(IF(OR(I51="Cleared",I51="Cancelled",G51=""),"",IF(G51&lt;TODAY(),"OVERDUE",IF(G51&lt;=TODAY()+'Setup &amp; Lists'!$M$7,"DUE SOON",""))),"CHECK DATE")</f>
        <v/>
      </c>
      <c r="O51" s="18" t="n"/>
    </row>
    <row r="52">
      <c r="A52" s="18" t="n"/>
      <c r="B52" s="18" t="n"/>
      <c r="C52" s="18" t="n"/>
      <c r="D52" s="18" t="n"/>
      <c r="E52" s="18" t="n"/>
      <c r="F52" s="23" t="n"/>
      <c r="G52" s="23" t="n"/>
      <c r="H52" s="25" t="n"/>
      <c r="I52" s="18" t="n"/>
      <c r="J52" s="23" t="n"/>
      <c r="K52" s="18" t="n"/>
      <c r="L52" s="18" t="n"/>
      <c r="M52" s="24">
        <f>IFERROR(IF(G52="","",G52-TODAY()),"")</f>
        <v/>
      </c>
      <c r="N52" s="24">
        <f>IFERROR(IF(OR(I52="Cleared",I52="Cancelled",G52=""),"",IF(G52&lt;TODAY(),"OVERDUE",IF(G52&lt;=TODAY()+'Setup &amp; Lists'!$M$7,"DUE SOON",""))),"CHECK DATE")</f>
        <v/>
      </c>
      <c r="O52" s="18" t="n"/>
    </row>
    <row r="53">
      <c r="A53" s="18" t="n"/>
      <c r="B53" s="18" t="n"/>
      <c r="C53" s="18" t="n"/>
      <c r="D53" s="18" t="n"/>
      <c r="E53" s="18" t="n"/>
      <c r="F53" s="23" t="n"/>
      <c r="G53" s="23" t="n"/>
      <c r="H53" s="25" t="n"/>
      <c r="I53" s="18" t="n"/>
      <c r="J53" s="23" t="n"/>
      <c r="K53" s="18" t="n"/>
      <c r="L53" s="18" t="n"/>
      <c r="M53" s="24">
        <f>IFERROR(IF(G53="","",G53-TODAY()),"")</f>
        <v/>
      </c>
      <c r="N53" s="24">
        <f>IFERROR(IF(OR(I53="Cleared",I53="Cancelled",G53=""),"",IF(G53&lt;TODAY(),"OVERDUE",IF(G53&lt;=TODAY()+'Setup &amp; Lists'!$M$7,"DUE SOON",""))),"CHECK DATE")</f>
        <v/>
      </c>
      <c r="O53" s="18" t="n"/>
    </row>
    <row r="54">
      <c r="A54" s="18" t="n"/>
      <c r="B54" s="18" t="n"/>
      <c r="C54" s="18" t="n"/>
      <c r="D54" s="18" t="n"/>
      <c r="E54" s="18" t="n"/>
      <c r="F54" s="23" t="n"/>
      <c r="G54" s="23" t="n"/>
      <c r="H54" s="25" t="n"/>
      <c r="I54" s="18" t="n"/>
      <c r="J54" s="23" t="n"/>
      <c r="K54" s="18" t="n"/>
      <c r="L54" s="18" t="n"/>
      <c r="M54" s="24">
        <f>IFERROR(IF(G54="","",G54-TODAY()),"")</f>
        <v/>
      </c>
      <c r="N54" s="24">
        <f>IFERROR(IF(OR(I54="Cleared",I54="Cancelled",G54=""),"",IF(G54&lt;TODAY(),"OVERDUE",IF(G54&lt;=TODAY()+'Setup &amp; Lists'!$M$7,"DUE SOON",""))),"CHECK DATE")</f>
        <v/>
      </c>
      <c r="O54" s="18" t="n"/>
    </row>
    <row r="55">
      <c r="A55" s="18" t="n"/>
      <c r="B55" s="18" t="n"/>
      <c r="C55" s="18" t="n"/>
      <c r="D55" s="18" t="n"/>
      <c r="E55" s="18" t="n"/>
      <c r="F55" s="23" t="n"/>
      <c r="G55" s="23" t="n"/>
      <c r="H55" s="25" t="n"/>
      <c r="I55" s="18" t="n"/>
      <c r="J55" s="23" t="n"/>
      <c r="K55" s="18" t="n"/>
      <c r="L55" s="18" t="n"/>
      <c r="M55" s="24">
        <f>IFERROR(IF(G55="","",G55-TODAY()),"")</f>
        <v/>
      </c>
      <c r="N55" s="24">
        <f>IFERROR(IF(OR(I55="Cleared",I55="Cancelled",G55=""),"",IF(G55&lt;TODAY(),"OVERDUE",IF(G55&lt;=TODAY()+'Setup &amp; Lists'!$M$7,"DUE SOON",""))),"CHECK DATE")</f>
        <v/>
      </c>
      <c r="O55" s="18" t="n"/>
    </row>
    <row r="56">
      <c r="A56" s="18" t="n"/>
      <c r="B56" s="18" t="n"/>
      <c r="C56" s="18" t="n"/>
      <c r="D56" s="18" t="n"/>
      <c r="E56" s="18" t="n"/>
      <c r="F56" s="23" t="n"/>
      <c r="G56" s="23" t="n"/>
      <c r="H56" s="25" t="n"/>
      <c r="I56" s="18" t="n"/>
      <c r="J56" s="23" t="n"/>
      <c r="K56" s="18" t="n"/>
      <c r="L56" s="18" t="n"/>
      <c r="M56" s="24">
        <f>IFERROR(IF(G56="","",G56-TODAY()),"")</f>
        <v/>
      </c>
      <c r="N56" s="24">
        <f>IFERROR(IF(OR(I56="Cleared",I56="Cancelled",G56=""),"",IF(G56&lt;TODAY(),"OVERDUE",IF(G56&lt;=TODAY()+'Setup &amp; Lists'!$M$7,"DUE SOON",""))),"CHECK DATE")</f>
        <v/>
      </c>
      <c r="O56" s="18" t="n"/>
    </row>
    <row r="57">
      <c r="A57" s="18" t="n"/>
      <c r="B57" s="18" t="n"/>
      <c r="C57" s="18" t="n"/>
      <c r="D57" s="18" t="n"/>
      <c r="E57" s="18" t="n"/>
      <c r="F57" s="23" t="n"/>
      <c r="G57" s="23" t="n"/>
      <c r="H57" s="25" t="n"/>
      <c r="I57" s="18" t="n"/>
      <c r="J57" s="23" t="n"/>
      <c r="K57" s="18" t="n"/>
      <c r="L57" s="18" t="n"/>
      <c r="M57" s="24">
        <f>IFERROR(IF(G57="","",G57-TODAY()),"")</f>
        <v/>
      </c>
      <c r="N57" s="24">
        <f>IFERROR(IF(OR(I57="Cleared",I57="Cancelled",G57=""),"",IF(G57&lt;TODAY(),"OVERDUE",IF(G57&lt;=TODAY()+'Setup &amp; Lists'!$M$7,"DUE SOON",""))),"CHECK DATE")</f>
        <v/>
      </c>
      <c r="O57" s="18" t="n"/>
    </row>
    <row r="58">
      <c r="A58" s="18" t="n"/>
      <c r="B58" s="18" t="n"/>
      <c r="C58" s="18" t="n"/>
      <c r="D58" s="18" t="n"/>
      <c r="E58" s="18" t="n"/>
      <c r="F58" s="23" t="n"/>
      <c r="G58" s="23" t="n"/>
      <c r="H58" s="25" t="n"/>
      <c r="I58" s="18" t="n"/>
      <c r="J58" s="23" t="n"/>
      <c r="K58" s="18" t="n"/>
      <c r="L58" s="18" t="n"/>
      <c r="M58" s="24">
        <f>IFERROR(IF(G58="","",G58-TODAY()),"")</f>
        <v/>
      </c>
      <c r="N58" s="24">
        <f>IFERROR(IF(OR(I58="Cleared",I58="Cancelled",G58=""),"",IF(G58&lt;TODAY(),"OVERDUE",IF(G58&lt;=TODAY()+'Setup &amp; Lists'!$M$7,"DUE SOON",""))),"CHECK DATE")</f>
        <v/>
      </c>
      <c r="O58" s="18" t="n"/>
    </row>
    <row r="59">
      <c r="A59" s="18" t="n"/>
      <c r="B59" s="18" t="n"/>
      <c r="C59" s="18" t="n"/>
      <c r="D59" s="18" t="n"/>
      <c r="E59" s="18" t="n"/>
      <c r="F59" s="23" t="n"/>
      <c r="G59" s="23" t="n"/>
      <c r="H59" s="25" t="n"/>
      <c r="I59" s="18" t="n"/>
      <c r="J59" s="23" t="n"/>
      <c r="K59" s="18" t="n"/>
      <c r="L59" s="18" t="n"/>
      <c r="M59" s="24">
        <f>IFERROR(IF(G59="","",G59-TODAY()),"")</f>
        <v/>
      </c>
      <c r="N59" s="24">
        <f>IFERROR(IF(OR(I59="Cleared",I59="Cancelled",G59=""),"",IF(G59&lt;TODAY(),"OVERDUE",IF(G59&lt;=TODAY()+'Setup &amp; Lists'!$M$7,"DUE SOON",""))),"CHECK DATE")</f>
        <v/>
      </c>
      <c r="O59" s="18" t="n"/>
    </row>
    <row r="60">
      <c r="A60" s="18" t="n"/>
      <c r="B60" s="18" t="n"/>
      <c r="C60" s="18" t="n"/>
      <c r="D60" s="18" t="n"/>
      <c r="E60" s="18" t="n"/>
      <c r="F60" s="23" t="n"/>
      <c r="G60" s="23" t="n"/>
      <c r="H60" s="25" t="n"/>
      <c r="I60" s="18" t="n"/>
      <c r="J60" s="23" t="n"/>
      <c r="K60" s="18" t="n"/>
      <c r="L60" s="18" t="n"/>
      <c r="M60" s="24">
        <f>IFERROR(IF(G60="","",G60-TODAY()),"")</f>
        <v/>
      </c>
      <c r="N60" s="24">
        <f>IFERROR(IF(OR(I60="Cleared",I60="Cancelled",G60=""),"",IF(G60&lt;TODAY(),"OVERDUE",IF(G60&lt;=TODAY()+'Setup &amp; Lists'!$M$7,"DUE SOON",""))),"CHECK DATE")</f>
        <v/>
      </c>
      <c r="O60" s="18" t="n"/>
    </row>
    <row r="61">
      <c r="A61" s="18" t="n"/>
      <c r="B61" s="18" t="n"/>
      <c r="C61" s="18" t="n"/>
      <c r="D61" s="18" t="n"/>
      <c r="E61" s="18" t="n"/>
      <c r="F61" s="23" t="n"/>
      <c r="G61" s="23" t="n"/>
      <c r="H61" s="25" t="n"/>
      <c r="I61" s="18" t="n"/>
      <c r="J61" s="23" t="n"/>
      <c r="K61" s="18" t="n"/>
      <c r="L61" s="18" t="n"/>
      <c r="M61" s="24">
        <f>IFERROR(IF(G61="","",G61-TODAY()),"")</f>
        <v/>
      </c>
      <c r="N61" s="24">
        <f>IFERROR(IF(OR(I61="Cleared",I61="Cancelled",G61=""),"",IF(G61&lt;TODAY(),"OVERDUE",IF(G61&lt;=TODAY()+'Setup &amp; Lists'!$M$7,"DUE SOON",""))),"CHECK DATE")</f>
        <v/>
      </c>
      <c r="O61" s="18" t="n"/>
    </row>
    <row r="62">
      <c r="A62" s="18" t="n"/>
      <c r="B62" s="18" t="n"/>
      <c r="C62" s="18" t="n"/>
      <c r="D62" s="18" t="n"/>
      <c r="E62" s="18" t="n"/>
      <c r="F62" s="23" t="n"/>
      <c r="G62" s="23" t="n"/>
      <c r="H62" s="25" t="n"/>
      <c r="I62" s="18" t="n"/>
      <c r="J62" s="23" t="n"/>
      <c r="K62" s="18" t="n"/>
      <c r="L62" s="18" t="n"/>
      <c r="M62" s="24">
        <f>IFERROR(IF(G62="","",G62-TODAY()),"")</f>
        <v/>
      </c>
      <c r="N62" s="24">
        <f>IFERROR(IF(OR(I62="Cleared",I62="Cancelled",G62=""),"",IF(G62&lt;TODAY(),"OVERDUE",IF(G62&lt;=TODAY()+'Setup &amp; Lists'!$M$7,"DUE SOON",""))),"CHECK DATE")</f>
        <v/>
      </c>
      <c r="O62" s="18" t="n"/>
    </row>
    <row r="63">
      <c r="A63" s="18" t="n"/>
      <c r="B63" s="18" t="n"/>
      <c r="C63" s="18" t="n"/>
      <c r="D63" s="18" t="n"/>
      <c r="E63" s="18" t="n"/>
      <c r="F63" s="23" t="n"/>
      <c r="G63" s="23" t="n"/>
      <c r="H63" s="25" t="n"/>
      <c r="I63" s="18" t="n"/>
      <c r="J63" s="23" t="n"/>
      <c r="K63" s="18" t="n"/>
      <c r="L63" s="18" t="n"/>
      <c r="M63" s="24">
        <f>IFERROR(IF(G63="","",G63-TODAY()),"")</f>
        <v/>
      </c>
      <c r="N63" s="24">
        <f>IFERROR(IF(OR(I63="Cleared",I63="Cancelled",G63=""),"",IF(G63&lt;TODAY(),"OVERDUE",IF(G63&lt;=TODAY()+'Setup &amp; Lists'!$M$7,"DUE SOON",""))),"CHECK DATE")</f>
        <v/>
      </c>
      <c r="O63" s="18" t="n"/>
    </row>
    <row r="64">
      <c r="A64" s="18" t="n"/>
      <c r="B64" s="18" t="n"/>
      <c r="C64" s="18" t="n"/>
      <c r="D64" s="18" t="n"/>
      <c r="E64" s="18" t="n"/>
      <c r="F64" s="23" t="n"/>
      <c r="G64" s="23" t="n"/>
      <c r="H64" s="25" t="n"/>
      <c r="I64" s="18" t="n"/>
      <c r="J64" s="23" t="n"/>
      <c r="K64" s="18" t="n"/>
      <c r="L64" s="18" t="n"/>
      <c r="M64" s="24">
        <f>IFERROR(IF(G64="","",G64-TODAY()),"")</f>
        <v/>
      </c>
      <c r="N64" s="24">
        <f>IFERROR(IF(OR(I64="Cleared",I64="Cancelled",G64=""),"",IF(G64&lt;TODAY(),"OVERDUE",IF(G64&lt;=TODAY()+'Setup &amp; Lists'!$M$7,"DUE SOON",""))),"CHECK DATE")</f>
        <v/>
      </c>
      <c r="O64" s="18" t="n"/>
    </row>
    <row r="65">
      <c r="A65" s="18" t="n"/>
      <c r="B65" s="18" t="n"/>
      <c r="C65" s="18" t="n"/>
      <c r="D65" s="18" t="n"/>
      <c r="E65" s="18" t="n"/>
      <c r="F65" s="23" t="n"/>
      <c r="G65" s="23" t="n"/>
      <c r="H65" s="25" t="n"/>
      <c r="I65" s="18" t="n"/>
      <c r="J65" s="23" t="n"/>
      <c r="K65" s="18" t="n"/>
      <c r="L65" s="18" t="n"/>
      <c r="M65" s="24">
        <f>IFERROR(IF(G65="","",G65-TODAY()),"")</f>
        <v/>
      </c>
      <c r="N65" s="24">
        <f>IFERROR(IF(OR(I65="Cleared",I65="Cancelled",G65=""),"",IF(G65&lt;TODAY(),"OVERDUE",IF(G65&lt;=TODAY()+'Setup &amp; Lists'!$M$7,"DUE SOON",""))),"CHECK DATE")</f>
        <v/>
      </c>
      <c r="O65" s="18" t="n"/>
    </row>
    <row r="66">
      <c r="A66" s="18" t="n"/>
      <c r="B66" s="18" t="n"/>
      <c r="C66" s="18" t="n"/>
      <c r="D66" s="18" t="n"/>
      <c r="E66" s="18" t="n"/>
      <c r="F66" s="23" t="n"/>
      <c r="G66" s="23" t="n"/>
      <c r="H66" s="25" t="n"/>
      <c r="I66" s="18" t="n"/>
      <c r="J66" s="23" t="n"/>
      <c r="K66" s="18" t="n"/>
      <c r="L66" s="18" t="n"/>
      <c r="M66" s="24">
        <f>IFERROR(IF(G66="","",G66-TODAY()),"")</f>
        <v/>
      </c>
      <c r="N66" s="24">
        <f>IFERROR(IF(OR(I66="Cleared",I66="Cancelled",G66=""),"",IF(G66&lt;TODAY(),"OVERDUE",IF(G66&lt;=TODAY()+'Setup &amp; Lists'!$M$7,"DUE SOON",""))),"CHECK DATE")</f>
        <v/>
      </c>
      <c r="O66" s="18" t="n"/>
    </row>
    <row r="67">
      <c r="A67" s="18" t="n"/>
      <c r="B67" s="18" t="n"/>
      <c r="C67" s="18" t="n"/>
      <c r="D67" s="18" t="n"/>
      <c r="E67" s="18" t="n"/>
      <c r="F67" s="23" t="n"/>
      <c r="G67" s="23" t="n"/>
      <c r="H67" s="25" t="n"/>
      <c r="I67" s="18" t="n"/>
      <c r="J67" s="23" t="n"/>
      <c r="K67" s="18" t="n"/>
      <c r="L67" s="18" t="n"/>
      <c r="M67" s="24">
        <f>IFERROR(IF(G67="","",G67-TODAY()),"")</f>
        <v/>
      </c>
      <c r="N67" s="24">
        <f>IFERROR(IF(OR(I67="Cleared",I67="Cancelled",G67=""),"",IF(G67&lt;TODAY(),"OVERDUE",IF(G67&lt;=TODAY()+'Setup &amp; Lists'!$M$7,"DUE SOON",""))),"CHECK DATE")</f>
        <v/>
      </c>
      <c r="O67" s="18" t="n"/>
    </row>
    <row r="68">
      <c r="A68" s="18" t="n"/>
      <c r="B68" s="18" t="n"/>
      <c r="C68" s="18" t="n"/>
      <c r="D68" s="18" t="n"/>
      <c r="E68" s="18" t="n"/>
      <c r="F68" s="23" t="n"/>
      <c r="G68" s="23" t="n"/>
      <c r="H68" s="25" t="n"/>
      <c r="I68" s="18" t="n"/>
      <c r="J68" s="23" t="n"/>
      <c r="K68" s="18" t="n"/>
      <c r="L68" s="18" t="n"/>
      <c r="M68" s="24">
        <f>IFERROR(IF(G68="","",G68-TODAY()),"")</f>
        <v/>
      </c>
      <c r="N68" s="24">
        <f>IFERROR(IF(OR(I68="Cleared",I68="Cancelled",G68=""),"",IF(G68&lt;TODAY(),"OVERDUE",IF(G68&lt;=TODAY()+'Setup &amp; Lists'!$M$7,"DUE SOON",""))),"CHECK DATE")</f>
        <v/>
      </c>
      <c r="O68" s="18" t="n"/>
    </row>
    <row r="69">
      <c r="A69" s="18" t="n"/>
      <c r="B69" s="18" t="n"/>
      <c r="C69" s="18" t="n"/>
      <c r="D69" s="18" t="n"/>
      <c r="E69" s="18" t="n"/>
      <c r="F69" s="23" t="n"/>
      <c r="G69" s="23" t="n"/>
      <c r="H69" s="25" t="n"/>
      <c r="I69" s="18" t="n"/>
      <c r="J69" s="23" t="n"/>
      <c r="K69" s="18" t="n"/>
      <c r="L69" s="18" t="n"/>
      <c r="M69" s="24">
        <f>IFERROR(IF(G69="","",G69-TODAY()),"")</f>
        <v/>
      </c>
      <c r="N69" s="24">
        <f>IFERROR(IF(OR(I69="Cleared",I69="Cancelled",G69=""),"",IF(G69&lt;TODAY(),"OVERDUE",IF(G69&lt;=TODAY()+'Setup &amp; Lists'!$M$7,"DUE SOON",""))),"CHECK DATE")</f>
        <v/>
      </c>
      <c r="O69" s="18" t="n"/>
    </row>
    <row r="70">
      <c r="A70" s="18" t="n"/>
      <c r="B70" s="18" t="n"/>
      <c r="C70" s="18" t="n"/>
      <c r="D70" s="18" t="n"/>
      <c r="E70" s="18" t="n"/>
      <c r="F70" s="23" t="n"/>
      <c r="G70" s="23" t="n"/>
      <c r="H70" s="25" t="n"/>
      <c r="I70" s="18" t="n"/>
      <c r="J70" s="23" t="n"/>
      <c r="K70" s="18" t="n"/>
      <c r="L70" s="18" t="n"/>
      <c r="M70" s="24">
        <f>IFERROR(IF(G70="","",G70-TODAY()),"")</f>
        <v/>
      </c>
      <c r="N70" s="24">
        <f>IFERROR(IF(OR(I70="Cleared",I70="Cancelled",G70=""),"",IF(G70&lt;TODAY(),"OVERDUE",IF(G70&lt;=TODAY()+'Setup &amp; Lists'!$M$7,"DUE SOON",""))),"CHECK DATE")</f>
        <v/>
      </c>
      <c r="O70" s="18" t="n"/>
    </row>
    <row r="71">
      <c r="A71" s="18" t="n"/>
      <c r="B71" s="18" t="n"/>
      <c r="C71" s="18" t="n"/>
      <c r="D71" s="18" t="n"/>
      <c r="E71" s="18" t="n"/>
      <c r="F71" s="23" t="n"/>
      <c r="G71" s="23" t="n"/>
      <c r="H71" s="25" t="n"/>
      <c r="I71" s="18" t="n"/>
      <c r="J71" s="23" t="n"/>
      <c r="K71" s="18" t="n"/>
      <c r="L71" s="18" t="n"/>
      <c r="M71" s="24">
        <f>IFERROR(IF(G71="","",G71-TODAY()),"")</f>
        <v/>
      </c>
      <c r="N71" s="24">
        <f>IFERROR(IF(OR(I71="Cleared",I71="Cancelled",G71=""),"",IF(G71&lt;TODAY(),"OVERDUE",IF(G71&lt;=TODAY()+'Setup &amp; Lists'!$M$7,"DUE SOON",""))),"CHECK DATE")</f>
        <v/>
      </c>
      <c r="O71" s="18" t="n"/>
    </row>
    <row r="72">
      <c r="A72" s="18" t="n"/>
      <c r="B72" s="18" t="n"/>
      <c r="C72" s="18" t="n"/>
      <c r="D72" s="18" t="n"/>
      <c r="E72" s="18" t="n"/>
      <c r="F72" s="23" t="n"/>
      <c r="G72" s="23" t="n"/>
      <c r="H72" s="25" t="n"/>
      <c r="I72" s="18" t="n"/>
      <c r="J72" s="23" t="n"/>
      <c r="K72" s="18" t="n"/>
      <c r="L72" s="18" t="n"/>
      <c r="M72" s="24">
        <f>IFERROR(IF(G72="","",G72-TODAY()),"")</f>
        <v/>
      </c>
      <c r="N72" s="24">
        <f>IFERROR(IF(OR(I72="Cleared",I72="Cancelled",G72=""),"",IF(G72&lt;TODAY(),"OVERDUE",IF(G72&lt;=TODAY()+'Setup &amp; Lists'!$M$7,"DUE SOON",""))),"CHECK DATE")</f>
        <v/>
      </c>
      <c r="O72" s="18" t="n"/>
    </row>
    <row r="73">
      <c r="A73" s="18" t="n"/>
      <c r="B73" s="18" t="n"/>
      <c r="C73" s="18" t="n"/>
      <c r="D73" s="18" t="n"/>
      <c r="E73" s="18" t="n"/>
      <c r="F73" s="23" t="n"/>
      <c r="G73" s="23" t="n"/>
      <c r="H73" s="25" t="n"/>
      <c r="I73" s="18" t="n"/>
      <c r="J73" s="23" t="n"/>
      <c r="K73" s="18" t="n"/>
      <c r="L73" s="18" t="n"/>
      <c r="M73" s="24">
        <f>IFERROR(IF(G73="","",G73-TODAY()),"")</f>
        <v/>
      </c>
      <c r="N73" s="24">
        <f>IFERROR(IF(OR(I73="Cleared",I73="Cancelled",G73=""),"",IF(G73&lt;TODAY(),"OVERDUE",IF(G73&lt;=TODAY()+'Setup &amp; Lists'!$M$7,"DUE SOON",""))),"CHECK DATE")</f>
        <v/>
      </c>
      <c r="O73" s="18" t="n"/>
    </row>
    <row r="74">
      <c r="A74" s="18" t="n"/>
      <c r="B74" s="18" t="n"/>
      <c r="C74" s="18" t="n"/>
      <c r="D74" s="18" t="n"/>
      <c r="E74" s="18" t="n"/>
      <c r="F74" s="23" t="n"/>
      <c r="G74" s="23" t="n"/>
      <c r="H74" s="25" t="n"/>
      <c r="I74" s="18" t="n"/>
      <c r="J74" s="23" t="n"/>
      <c r="K74" s="18" t="n"/>
      <c r="L74" s="18" t="n"/>
      <c r="M74" s="24">
        <f>IFERROR(IF(G74="","",G74-TODAY()),"")</f>
        <v/>
      </c>
      <c r="N74" s="24">
        <f>IFERROR(IF(OR(I74="Cleared",I74="Cancelled",G74=""),"",IF(G74&lt;TODAY(),"OVERDUE",IF(G74&lt;=TODAY()+'Setup &amp; Lists'!$M$7,"DUE SOON",""))),"CHECK DATE")</f>
        <v/>
      </c>
      <c r="O74" s="18" t="n"/>
    </row>
    <row r="75">
      <c r="A75" s="18" t="n"/>
      <c r="B75" s="18" t="n"/>
      <c r="C75" s="18" t="n"/>
      <c r="D75" s="18" t="n"/>
      <c r="E75" s="18" t="n"/>
      <c r="F75" s="23" t="n"/>
      <c r="G75" s="23" t="n"/>
      <c r="H75" s="25" t="n"/>
      <c r="I75" s="18" t="n"/>
      <c r="J75" s="23" t="n"/>
      <c r="K75" s="18" t="n"/>
      <c r="L75" s="18" t="n"/>
      <c r="M75" s="24">
        <f>IFERROR(IF(G75="","",G75-TODAY()),"")</f>
        <v/>
      </c>
      <c r="N75" s="24">
        <f>IFERROR(IF(OR(I75="Cleared",I75="Cancelled",G75=""),"",IF(G75&lt;TODAY(),"OVERDUE",IF(G75&lt;=TODAY()+'Setup &amp; Lists'!$M$7,"DUE SOON",""))),"CHECK DATE")</f>
        <v/>
      </c>
      <c r="O75" s="18" t="n"/>
    </row>
    <row r="76">
      <c r="A76" s="18" t="n"/>
      <c r="B76" s="18" t="n"/>
      <c r="C76" s="18" t="n"/>
      <c r="D76" s="18" t="n"/>
      <c r="E76" s="18" t="n"/>
      <c r="F76" s="23" t="n"/>
      <c r="G76" s="23" t="n"/>
      <c r="H76" s="25" t="n"/>
      <c r="I76" s="18" t="n"/>
      <c r="J76" s="23" t="n"/>
      <c r="K76" s="18" t="n"/>
      <c r="L76" s="18" t="n"/>
      <c r="M76" s="24">
        <f>IFERROR(IF(G76="","",G76-TODAY()),"")</f>
        <v/>
      </c>
      <c r="N76" s="24">
        <f>IFERROR(IF(OR(I76="Cleared",I76="Cancelled",G76=""),"",IF(G76&lt;TODAY(),"OVERDUE",IF(G76&lt;=TODAY()+'Setup &amp; Lists'!$M$7,"DUE SOON",""))),"CHECK DATE")</f>
        <v/>
      </c>
      <c r="O76" s="18" t="n"/>
    </row>
    <row r="77">
      <c r="A77" s="18" t="n"/>
      <c r="B77" s="18" t="n"/>
      <c r="C77" s="18" t="n"/>
      <c r="D77" s="18" t="n"/>
      <c r="E77" s="18" t="n"/>
      <c r="F77" s="23" t="n"/>
      <c r="G77" s="23" t="n"/>
      <c r="H77" s="25" t="n"/>
      <c r="I77" s="18" t="n"/>
      <c r="J77" s="23" t="n"/>
      <c r="K77" s="18" t="n"/>
      <c r="L77" s="18" t="n"/>
      <c r="M77" s="24">
        <f>IFERROR(IF(G77="","",G77-TODAY()),"")</f>
        <v/>
      </c>
      <c r="N77" s="24">
        <f>IFERROR(IF(OR(I77="Cleared",I77="Cancelled",G77=""),"",IF(G77&lt;TODAY(),"OVERDUE",IF(G77&lt;=TODAY()+'Setup &amp; Lists'!$M$7,"DUE SOON",""))),"CHECK DATE")</f>
        <v/>
      </c>
      <c r="O77" s="18" t="n"/>
    </row>
    <row r="78">
      <c r="A78" s="18" t="n"/>
      <c r="B78" s="18" t="n"/>
      <c r="C78" s="18" t="n"/>
      <c r="D78" s="18" t="n"/>
      <c r="E78" s="18" t="n"/>
      <c r="F78" s="23" t="n"/>
      <c r="G78" s="23" t="n"/>
      <c r="H78" s="25" t="n"/>
      <c r="I78" s="18" t="n"/>
      <c r="J78" s="23" t="n"/>
      <c r="K78" s="18" t="n"/>
      <c r="L78" s="18" t="n"/>
      <c r="M78" s="24">
        <f>IFERROR(IF(G78="","",G78-TODAY()),"")</f>
        <v/>
      </c>
      <c r="N78" s="24">
        <f>IFERROR(IF(OR(I78="Cleared",I78="Cancelled",G78=""),"",IF(G78&lt;TODAY(),"OVERDUE",IF(G78&lt;=TODAY()+'Setup &amp; Lists'!$M$7,"DUE SOON",""))),"CHECK DATE")</f>
        <v/>
      </c>
      <c r="O78" s="18" t="n"/>
    </row>
    <row r="79">
      <c r="A79" s="18" t="n"/>
      <c r="B79" s="18" t="n"/>
      <c r="C79" s="18" t="n"/>
      <c r="D79" s="18" t="n"/>
      <c r="E79" s="18" t="n"/>
      <c r="F79" s="23" t="n"/>
      <c r="G79" s="23" t="n"/>
      <c r="H79" s="25" t="n"/>
      <c r="I79" s="18" t="n"/>
      <c r="J79" s="23" t="n"/>
      <c r="K79" s="18" t="n"/>
      <c r="L79" s="18" t="n"/>
      <c r="M79" s="24">
        <f>IFERROR(IF(G79="","",G79-TODAY()),"")</f>
        <v/>
      </c>
      <c r="N79" s="24">
        <f>IFERROR(IF(OR(I79="Cleared",I79="Cancelled",G79=""),"",IF(G79&lt;TODAY(),"OVERDUE",IF(G79&lt;=TODAY()+'Setup &amp; Lists'!$M$7,"DUE SOON",""))),"CHECK DATE")</f>
        <v/>
      </c>
      <c r="O79" s="18" t="n"/>
    </row>
    <row r="80">
      <c r="A80" s="18" t="n"/>
      <c r="B80" s="18" t="n"/>
      <c r="C80" s="18" t="n"/>
      <c r="D80" s="18" t="n"/>
      <c r="E80" s="18" t="n"/>
      <c r="F80" s="23" t="n"/>
      <c r="G80" s="23" t="n"/>
      <c r="H80" s="25" t="n"/>
      <c r="I80" s="18" t="n"/>
      <c r="J80" s="23" t="n"/>
      <c r="K80" s="18" t="n"/>
      <c r="L80" s="18" t="n"/>
      <c r="M80" s="24">
        <f>IFERROR(IF(G80="","",G80-TODAY()),"")</f>
        <v/>
      </c>
      <c r="N80" s="24">
        <f>IFERROR(IF(OR(I80="Cleared",I80="Cancelled",G80=""),"",IF(G80&lt;TODAY(),"OVERDUE",IF(G80&lt;=TODAY()+'Setup &amp; Lists'!$M$7,"DUE SOON",""))),"CHECK DATE")</f>
        <v/>
      </c>
      <c r="O80" s="18" t="n"/>
    </row>
    <row r="81">
      <c r="A81" s="18" t="n"/>
      <c r="B81" s="18" t="n"/>
      <c r="C81" s="18" t="n"/>
      <c r="D81" s="18" t="n"/>
      <c r="E81" s="18" t="n"/>
      <c r="F81" s="23" t="n"/>
      <c r="G81" s="23" t="n"/>
      <c r="H81" s="25" t="n"/>
      <c r="I81" s="18" t="n"/>
      <c r="J81" s="23" t="n"/>
      <c r="K81" s="18" t="n"/>
      <c r="L81" s="18" t="n"/>
      <c r="M81" s="24">
        <f>IFERROR(IF(G81="","",G81-TODAY()),"")</f>
        <v/>
      </c>
      <c r="N81" s="24">
        <f>IFERROR(IF(OR(I81="Cleared",I81="Cancelled",G81=""),"",IF(G81&lt;TODAY(),"OVERDUE",IF(G81&lt;=TODAY()+'Setup &amp; Lists'!$M$7,"DUE SOON",""))),"CHECK DATE")</f>
        <v/>
      </c>
      <c r="O81" s="18" t="n"/>
    </row>
    <row r="82">
      <c r="A82" s="18" t="n"/>
      <c r="B82" s="18" t="n"/>
      <c r="C82" s="18" t="n"/>
      <c r="D82" s="18" t="n"/>
      <c r="E82" s="18" t="n"/>
      <c r="F82" s="23" t="n"/>
      <c r="G82" s="23" t="n"/>
      <c r="H82" s="25" t="n"/>
      <c r="I82" s="18" t="n"/>
      <c r="J82" s="23" t="n"/>
      <c r="K82" s="18" t="n"/>
      <c r="L82" s="18" t="n"/>
      <c r="M82" s="24">
        <f>IFERROR(IF(G82="","",G82-TODAY()),"")</f>
        <v/>
      </c>
      <c r="N82" s="24">
        <f>IFERROR(IF(OR(I82="Cleared",I82="Cancelled",G82=""),"",IF(G82&lt;TODAY(),"OVERDUE",IF(G82&lt;=TODAY()+'Setup &amp; Lists'!$M$7,"DUE SOON",""))),"CHECK DATE")</f>
        <v/>
      </c>
      <c r="O82" s="18" t="n"/>
    </row>
    <row r="83">
      <c r="A83" s="18" t="n"/>
      <c r="B83" s="18" t="n"/>
      <c r="C83" s="18" t="n"/>
      <c r="D83" s="18" t="n"/>
      <c r="E83" s="18" t="n"/>
      <c r="F83" s="23" t="n"/>
      <c r="G83" s="23" t="n"/>
      <c r="H83" s="25" t="n"/>
      <c r="I83" s="18" t="n"/>
      <c r="J83" s="23" t="n"/>
      <c r="K83" s="18" t="n"/>
      <c r="L83" s="18" t="n"/>
      <c r="M83" s="24">
        <f>IFERROR(IF(G83="","",G83-TODAY()),"")</f>
        <v/>
      </c>
      <c r="N83" s="24">
        <f>IFERROR(IF(OR(I83="Cleared",I83="Cancelled",G83=""),"",IF(G83&lt;TODAY(),"OVERDUE",IF(G83&lt;=TODAY()+'Setup &amp; Lists'!$M$7,"DUE SOON",""))),"CHECK DATE")</f>
        <v/>
      </c>
      <c r="O83" s="18" t="n"/>
    </row>
    <row r="84">
      <c r="A84" s="18" t="n"/>
      <c r="B84" s="18" t="n"/>
      <c r="C84" s="18" t="n"/>
      <c r="D84" s="18" t="n"/>
      <c r="E84" s="18" t="n"/>
      <c r="F84" s="23" t="n"/>
      <c r="G84" s="23" t="n"/>
      <c r="H84" s="25" t="n"/>
      <c r="I84" s="18" t="n"/>
      <c r="J84" s="23" t="n"/>
      <c r="K84" s="18" t="n"/>
      <c r="L84" s="18" t="n"/>
      <c r="M84" s="24">
        <f>IFERROR(IF(G84="","",G84-TODAY()),"")</f>
        <v/>
      </c>
      <c r="N84" s="24">
        <f>IFERROR(IF(OR(I84="Cleared",I84="Cancelled",G84=""),"",IF(G84&lt;TODAY(),"OVERDUE",IF(G84&lt;=TODAY()+'Setup &amp; Lists'!$M$7,"DUE SOON",""))),"CHECK DATE")</f>
        <v/>
      </c>
      <c r="O84" s="18" t="n"/>
    </row>
    <row r="85">
      <c r="A85" s="18" t="n"/>
      <c r="B85" s="18" t="n"/>
      <c r="C85" s="18" t="n"/>
      <c r="D85" s="18" t="n"/>
      <c r="E85" s="18" t="n"/>
      <c r="F85" s="23" t="n"/>
      <c r="G85" s="23" t="n"/>
      <c r="H85" s="25" t="n"/>
      <c r="I85" s="18" t="n"/>
      <c r="J85" s="23" t="n"/>
      <c r="K85" s="18" t="n"/>
      <c r="L85" s="18" t="n"/>
      <c r="M85" s="24">
        <f>IFERROR(IF(G85="","",G85-TODAY()),"")</f>
        <v/>
      </c>
      <c r="N85" s="24">
        <f>IFERROR(IF(OR(I85="Cleared",I85="Cancelled",G85=""),"",IF(G85&lt;TODAY(),"OVERDUE",IF(G85&lt;=TODAY()+'Setup &amp; Lists'!$M$7,"DUE SOON",""))),"CHECK DATE")</f>
        <v/>
      </c>
      <c r="O85" s="18" t="n"/>
    </row>
    <row r="86">
      <c r="A86" s="18" t="n"/>
      <c r="B86" s="18" t="n"/>
      <c r="C86" s="18" t="n"/>
      <c r="D86" s="18" t="n"/>
      <c r="E86" s="18" t="n"/>
      <c r="F86" s="23" t="n"/>
      <c r="G86" s="23" t="n"/>
      <c r="H86" s="25" t="n"/>
      <c r="I86" s="18" t="n"/>
      <c r="J86" s="23" t="n"/>
      <c r="K86" s="18" t="n"/>
      <c r="L86" s="18" t="n"/>
      <c r="M86" s="24">
        <f>IFERROR(IF(G86="","",G86-TODAY()),"")</f>
        <v/>
      </c>
      <c r="N86" s="24">
        <f>IFERROR(IF(OR(I86="Cleared",I86="Cancelled",G86=""),"",IF(G86&lt;TODAY(),"OVERDUE",IF(G86&lt;=TODAY()+'Setup &amp; Lists'!$M$7,"DUE SOON",""))),"CHECK DATE")</f>
        <v/>
      </c>
      <c r="O86" s="18" t="n"/>
    </row>
    <row r="87">
      <c r="A87" s="18" t="n"/>
      <c r="B87" s="18" t="n"/>
      <c r="C87" s="18" t="n"/>
      <c r="D87" s="18" t="n"/>
      <c r="E87" s="18" t="n"/>
      <c r="F87" s="23" t="n"/>
      <c r="G87" s="23" t="n"/>
      <c r="H87" s="25" t="n"/>
      <c r="I87" s="18" t="n"/>
      <c r="J87" s="23" t="n"/>
      <c r="K87" s="18" t="n"/>
      <c r="L87" s="18" t="n"/>
      <c r="M87" s="24">
        <f>IFERROR(IF(G87="","",G87-TODAY()),"")</f>
        <v/>
      </c>
      <c r="N87" s="24">
        <f>IFERROR(IF(OR(I87="Cleared",I87="Cancelled",G87=""),"",IF(G87&lt;TODAY(),"OVERDUE",IF(G87&lt;=TODAY()+'Setup &amp; Lists'!$M$7,"DUE SOON",""))),"CHECK DATE")</f>
        <v/>
      </c>
      <c r="O87" s="18" t="n"/>
    </row>
    <row r="88">
      <c r="A88" s="18" t="n"/>
      <c r="B88" s="18" t="n"/>
      <c r="C88" s="18" t="n"/>
      <c r="D88" s="18" t="n"/>
      <c r="E88" s="18" t="n"/>
      <c r="F88" s="23" t="n"/>
      <c r="G88" s="23" t="n"/>
      <c r="H88" s="25" t="n"/>
      <c r="I88" s="18" t="n"/>
      <c r="J88" s="23" t="n"/>
      <c r="K88" s="18" t="n"/>
      <c r="L88" s="18" t="n"/>
      <c r="M88" s="24">
        <f>IFERROR(IF(G88="","",G88-TODAY()),"")</f>
        <v/>
      </c>
      <c r="N88" s="24">
        <f>IFERROR(IF(OR(I88="Cleared",I88="Cancelled",G88=""),"",IF(G88&lt;TODAY(),"OVERDUE",IF(G88&lt;=TODAY()+'Setup &amp; Lists'!$M$7,"DUE SOON",""))),"CHECK DATE")</f>
        <v/>
      </c>
      <c r="O88" s="18" t="n"/>
    </row>
    <row r="89">
      <c r="A89" s="18" t="n"/>
      <c r="B89" s="18" t="n"/>
      <c r="C89" s="18" t="n"/>
      <c r="D89" s="18" t="n"/>
      <c r="E89" s="18" t="n"/>
      <c r="F89" s="23" t="n"/>
      <c r="G89" s="23" t="n"/>
      <c r="H89" s="25" t="n"/>
      <c r="I89" s="18" t="n"/>
      <c r="J89" s="23" t="n"/>
      <c r="K89" s="18" t="n"/>
      <c r="L89" s="18" t="n"/>
      <c r="M89" s="24">
        <f>IFERROR(IF(G89="","",G89-TODAY()),"")</f>
        <v/>
      </c>
      <c r="N89" s="24">
        <f>IFERROR(IF(OR(I89="Cleared",I89="Cancelled",G89=""),"",IF(G89&lt;TODAY(),"OVERDUE",IF(G89&lt;=TODAY()+'Setup &amp; Lists'!$M$7,"DUE SOON",""))),"CHECK DATE")</f>
        <v/>
      </c>
      <c r="O89" s="18" t="n"/>
    </row>
    <row r="90">
      <c r="A90" s="18" t="n"/>
      <c r="B90" s="18" t="n"/>
      <c r="C90" s="18" t="n"/>
      <c r="D90" s="18" t="n"/>
      <c r="E90" s="18" t="n"/>
      <c r="F90" s="23" t="n"/>
      <c r="G90" s="23" t="n"/>
      <c r="H90" s="25" t="n"/>
      <c r="I90" s="18" t="n"/>
      <c r="J90" s="23" t="n"/>
      <c r="K90" s="18" t="n"/>
      <c r="L90" s="18" t="n"/>
      <c r="M90" s="24">
        <f>IFERROR(IF(G90="","",G90-TODAY()),"")</f>
        <v/>
      </c>
      <c r="N90" s="24">
        <f>IFERROR(IF(OR(I90="Cleared",I90="Cancelled",G90=""),"",IF(G90&lt;TODAY(),"OVERDUE",IF(G90&lt;=TODAY()+'Setup &amp; Lists'!$M$7,"DUE SOON",""))),"CHECK DATE")</f>
        <v/>
      </c>
      <c r="O90" s="18" t="n"/>
    </row>
    <row r="91">
      <c r="A91" s="18" t="n"/>
      <c r="B91" s="18" t="n"/>
      <c r="C91" s="18" t="n"/>
      <c r="D91" s="18" t="n"/>
      <c r="E91" s="18" t="n"/>
      <c r="F91" s="23" t="n"/>
      <c r="G91" s="23" t="n"/>
      <c r="H91" s="25" t="n"/>
      <c r="I91" s="18" t="n"/>
      <c r="J91" s="23" t="n"/>
      <c r="K91" s="18" t="n"/>
      <c r="L91" s="18" t="n"/>
      <c r="M91" s="24">
        <f>IFERROR(IF(G91="","",G91-TODAY()),"")</f>
        <v/>
      </c>
      <c r="N91" s="24">
        <f>IFERROR(IF(OR(I91="Cleared",I91="Cancelled",G91=""),"",IF(G91&lt;TODAY(),"OVERDUE",IF(G91&lt;=TODAY()+'Setup &amp; Lists'!$M$7,"DUE SOON",""))),"CHECK DATE")</f>
        <v/>
      </c>
      <c r="O91" s="18" t="n"/>
    </row>
    <row r="92">
      <c r="A92" s="18" t="n"/>
      <c r="B92" s="18" t="n"/>
      <c r="C92" s="18" t="n"/>
      <c r="D92" s="18" t="n"/>
      <c r="E92" s="18" t="n"/>
      <c r="F92" s="23" t="n"/>
      <c r="G92" s="23" t="n"/>
      <c r="H92" s="25" t="n"/>
      <c r="I92" s="18" t="n"/>
      <c r="J92" s="23" t="n"/>
      <c r="K92" s="18" t="n"/>
      <c r="L92" s="18" t="n"/>
      <c r="M92" s="24">
        <f>IFERROR(IF(G92="","",G92-TODAY()),"")</f>
        <v/>
      </c>
      <c r="N92" s="24">
        <f>IFERROR(IF(OR(I92="Cleared",I92="Cancelled",G92=""),"",IF(G92&lt;TODAY(),"OVERDUE",IF(G92&lt;=TODAY()+'Setup &amp; Lists'!$M$7,"DUE SOON",""))),"CHECK DATE")</f>
        <v/>
      </c>
      <c r="O92" s="18" t="n"/>
    </row>
    <row r="93">
      <c r="A93" s="18" t="n"/>
      <c r="B93" s="18" t="n"/>
      <c r="C93" s="18" t="n"/>
      <c r="D93" s="18" t="n"/>
      <c r="E93" s="18" t="n"/>
      <c r="F93" s="23" t="n"/>
      <c r="G93" s="23" t="n"/>
      <c r="H93" s="25" t="n"/>
      <c r="I93" s="18" t="n"/>
      <c r="J93" s="23" t="n"/>
      <c r="K93" s="18" t="n"/>
      <c r="L93" s="18" t="n"/>
      <c r="M93" s="24">
        <f>IFERROR(IF(G93="","",G93-TODAY()),"")</f>
        <v/>
      </c>
      <c r="N93" s="24">
        <f>IFERROR(IF(OR(I93="Cleared",I93="Cancelled",G93=""),"",IF(G93&lt;TODAY(),"OVERDUE",IF(G93&lt;=TODAY()+'Setup &amp; Lists'!$M$7,"DUE SOON",""))),"CHECK DATE")</f>
        <v/>
      </c>
      <c r="O93" s="18" t="n"/>
    </row>
    <row r="94">
      <c r="A94" s="18" t="n"/>
      <c r="B94" s="18" t="n"/>
      <c r="C94" s="18" t="n"/>
      <c r="D94" s="18" t="n"/>
      <c r="E94" s="18" t="n"/>
      <c r="F94" s="23" t="n"/>
      <c r="G94" s="23" t="n"/>
      <c r="H94" s="25" t="n"/>
      <c r="I94" s="18" t="n"/>
      <c r="J94" s="23" t="n"/>
      <c r="K94" s="18" t="n"/>
      <c r="L94" s="18" t="n"/>
      <c r="M94" s="24">
        <f>IFERROR(IF(G94="","",G94-TODAY()),"")</f>
        <v/>
      </c>
      <c r="N94" s="24">
        <f>IFERROR(IF(OR(I94="Cleared",I94="Cancelled",G94=""),"",IF(G94&lt;TODAY(),"OVERDUE",IF(G94&lt;=TODAY()+'Setup &amp; Lists'!$M$7,"DUE SOON",""))),"CHECK DATE")</f>
        <v/>
      </c>
      <c r="O94" s="18" t="n"/>
    </row>
    <row r="95">
      <c r="A95" s="18" t="n"/>
      <c r="B95" s="18" t="n"/>
      <c r="C95" s="18" t="n"/>
      <c r="D95" s="18" t="n"/>
      <c r="E95" s="18" t="n"/>
      <c r="F95" s="23" t="n"/>
      <c r="G95" s="23" t="n"/>
      <c r="H95" s="25" t="n"/>
      <c r="I95" s="18" t="n"/>
      <c r="J95" s="23" t="n"/>
      <c r="K95" s="18" t="n"/>
      <c r="L95" s="18" t="n"/>
      <c r="M95" s="24">
        <f>IFERROR(IF(G95="","",G95-TODAY()),"")</f>
        <v/>
      </c>
      <c r="N95" s="24">
        <f>IFERROR(IF(OR(I95="Cleared",I95="Cancelled",G95=""),"",IF(G95&lt;TODAY(),"OVERDUE",IF(G95&lt;=TODAY()+'Setup &amp; Lists'!$M$7,"DUE SOON",""))),"CHECK DATE")</f>
        <v/>
      </c>
      <c r="O95" s="18" t="n"/>
    </row>
    <row r="96">
      <c r="A96" s="18" t="n"/>
      <c r="B96" s="18" t="n"/>
      <c r="C96" s="18" t="n"/>
      <c r="D96" s="18" t="n"/>
      <c r="E96" s="18" t="n"/>
      <c r="F96" s="23" t="n"/>
      <c r="G96" s="23" t="n"/>
      <c r="H96" s="25" t="n"/>
      <c r="I96" s="18" t="n"/>
      <c r="J96" s="23" t="n"/>
      <c r="K96" s="18" t="n"/>
      <c r="L96" s="18" t="n"/>
      <c r="M96" s="24">
        <f>IFERROR(IF(G96="","",G96-TODAY()),"")</f>
        <v/>
      </c>
      <c r="N96" s="24">
        <f>IFERROR(IF(OR(I96="Cleared",I96="Cancelled",G96=""),"",IF(G96&lt;TODAY(),"OVERDUE",IF(G96&lt;=TODAY()+'Setup &amp; Lists'!$M$7,"DUE SOON",""))),"CHECK DATE")</f>
        <v/>
      </c>
      <c r="O96" s="18" t="n"/>
    </row>
    <row r="97">
      <c r="A97" s="18" t="n"/>
      <c r="B97" s="18" t="n"/>
      <c r="C97" s="18" t="n"/>
      <c r="D97" s="18" t="n"/>
      <c r="E97" s="18" t="n"/>
      <c r="F97" s="23" t="n"/>
      <c r="G97" s="23" t="n"/>
      <c r="H97" s="25" t="n"/>
      <c r="I97" s="18" t="n"/>
      <c r="J97" s="23" t="n"/>
      <c r="K97" s="18" t="n"/>
      <c r="L97" s="18" t="n"/>
      <c r="M97" s="24">
        <f>IFERROR(IF(G97="","",G97-TODAY()),"")</f>
        <v/>
      </c>
      <c r="N97" s="24">
        <f>IFERROR(IF(OR(I97="Cleared",I97="Cancelled",G97=""),"",IF(G97&lt;TODAY(),"OVERDUE",IF(G97&lt;=TODAY()+'Setup &amp; Lists'!$M$7,"DUE SOON",""))),"CHECK DATE")</f>
        <v/>
      </c>
      <c r="O97" s="18" t="n"/>
    </row>
    <row r="98">
      <c r="A98" s="18" t="n"/>
      <c r="B98" s="18" t="n"/>
      <c r="C98" s="18" t="n"/>
      <c r="D98" s="18" t="n"/>
      <c r="E98" s="18" t="n"/>
      <c r="F98" s="23" t="n"/>
      <c r="G98" s="23" t="n"/>
      <c r="H98" s="25" t="n"/>
      <c r="I98" s="18" t="n"/>
      <c r="J98" s="23" t="n"/>
      <c r="K98" s="18" t="n"/>
      <c r="L98" s="18" t="n"/>
      <c r="M98" s="24">
        <f>IFERROR(IF(G98="","",G98-TODAY()),"")</f>
        <v/>
      </c>
      <c r="N98" s="24">
        <f>IFERROR(IF(OR(I98="Cleared",I98="Cancelled",G98=""),"",IF(G98&lt;TODAY(),"OVERDUE",IF(G98&lt;=TODAY()+'Setup &amp; Lists'!$M$7,"DUE SOON",""))),"CHECK DATE")</f>
        <v/>
      </c>
      <c r="O98" s="18" t="n"/>
    </row>
    <row r="99">
      <c r="A99" s="18" t="n"/>
      <c r="B99" s="18" t="n"/>
      <c r="C99" s="18" t="n"/>
      <c r="D99" s="18" t="n"/>
      <c r="E99" s="18" t="n"/>
      <c r="F99" s="23" t="n"/>
      <c r="G99" s="23" t="n"/>
      <c r="H99" s="25" t="n"/>
      <c r="I99" s="18" t="n"/>
      <c r="J99" s="23" t="n"/>
      <c r="K99" s="18" t="n"/>
      <c r="L99" s="18" t="n"/>
      <c r="M99" s="24">
        <f>IFERROR(IF(G99="","",G99-TODAY()),"")</f>
        <v/>
      </c>
      <c r="N99" s="24">
        <f>IFERROR(IF(OR(I99="Cleared",I99="Cancelled",G99=""),"",IF(G99&lt;TODAY(),"OVERDUE",IF(G99&lt;=TODAY()+'Setup &amp; Lists'!$M$7,"DUE SOON",""))),"CHECK DATE")</f>
        <v/>
      </c>
      <c r="O99" s="18" t="n"/>
    </row>
    <row r="100">
      <c r="A100" s="18" t="n"/>
      <c r="B100" s="18" t="n"/>
      <c r="C100" s="18" t="n"/>
      <c r="D100" s="18" t="n"/>
      <c r="E100" s="18" t="n"/>
      <c r="F100" s="23" t="n"/>
      <c r="G100" s="23" t="n"/>
      <c r="H100" s="25" t="n"/>
      <c r="I100" s="18" t="n"/>
      <c r="J100" s="23" t="n"/>
      <c r="K100" s="18" t="n"/>
      <c r="L100" s="18" t="n"/>
      <c r="M100" s="24">
        <f>IFERROR(IF(G100="","",G100-TODAY()),"")</f>
        <v/>
      </c>
      <c r="N100" s="24">
        <f>IFERROR(IF(OR(I100="Cleared",I100="Cancelled",G100=""),"",IF(G100&lt;TODAY(),"OVERDUE",IF(G100&lt;=TODAY()+'Setup &amp; Lists'!$M$7,"DUE SOON",""))),"CHECK DATE")</f>
        <v/>
      </c>
      <c r="O100" s="18" t="n"/>
    </row>
    <row r="101">
      <c r="A101" s="18" t="n"/>
      <c r="B101" s="18" t="n"/>
      <c r="C101" s="18" t="n"/>
      <c r="D101" s="18" t="n"/>
      <c r="E101" s="18" t="n"/>
      <c r="F101" s="23" t="n"/>
      <c r="G101" s="23" t="n"/>
      <c r="H101" s="25" t="n"/>
      <c r="I101" s="18" t="n"/>
      <c r="J101" s="23" t="n"/>
      <c r="K101" s="18" t="n"/>
      <c r="L101" s="18" t="n"/>
      <c r="M101" s="24">
        <f>IFERROR(IF(G101="","",G101-TODAY()),"")</f>
        <v/>
      </c>
      <c r="N101" s="24">
        <f>IFERROR(IF(OR(I101="Cleared",I101="Cancelled",G101=""),"",IF(G101&lt;TODAY(),"OVERDUE",IF(G101&lt;=TODAY()+'Setup &amp; Lists'!$M$7,"DUE SOON",""))),"CHECK DATE")</f>
        <v/>
      </c>
      <c r="O101" s="18" t="n"/>
    </row>
    <row r="102">
      <c r="A102" s="18" t="n"/>
      <c r="B102" s="18" t="n"/>
      <c r="C102" s="18" t="n"/>
      <c r="D102" s="18" t="n"/>
      <c r="E102" s="18" t="n"/>
      <c r="F102" s="23" t="n"/>
      <c r="G102" s="23" t="n"/>
      <c r="H102" s="25" t="n"/>
      <c r="I102" s="18" t="n"/>
      <c r="J102" s="23" t="n"/>
      <c r="K102" s="18" t="n"/>
      <c r="L102" s="18" t="n"/>
      <c r="M102" s="24">
        <f>IFERROR(IF(G102="","",G102-TODAY()),"")</f>
        <v/>
      </c>
      <c r="N102" s="24">
        <f>IFERROR(IF(OR(I102="Cleared",I102="Cancelled",G102=""),"",IF(G102&lt;TODAY(),"OVERDUE",IF(G102&lt;=TODAY()+'Setup &amp; Lists'!$M$7,"DUE SOON",""))),"CHECK DATE")</f>
        <v/>
      </c>
      <c r="O102" s="18" t="n"/>
    </row>
    <row r="103">
      <c r="A103" s="18" t="n"/>
      <c r="B103" s="18" t="n"/>
      <c r="C103" s="18" t="n"/>
      <c r="D103" s="18" t="n"/>
      <c r="E103" s="18" t="n"/>
      <c r="F103" s="23" t="n"/>
      <c r="G103" s="23" t="n"/>
      <c r="H103" s="25" t="n"/>
      <c r="I103" s="18" t="n"/>
      <c r="J103" s="23" t="n"/>
      <c r="K103" s="18" t="n"/>
      <c r="L103" s="18" t="n"/>
      <c r="M103" s="24">
        <f>IFERROR(IF(G103="","",G103-TODAY()),"")</f>
        <v/>
      </c>
      <c r="N103" s="24">
        <f>IFERROR(IF(OR(I103="Cleared",I103="Cancelled",G103=""),"",IF(G103&lt;TODAY(),"OVERDUE",IF(G103&lt;=TODAY()+'Setup &amp; Lists'!$M$7,"DUE SOON",""))),"CHECK DATE")</f>
        <v/>
      </c>
      <c r="O103" s="18" t="n"/>
    </row>
    <row r="104">
      <c r="A104" s="18" t="n"/>
      <c r="B104" s="18" t="n"/>
      <c r="C104" s="18" t="n"/>
      <c r="D104" s="18" t="n"/>
      <c r="E104" s="18" t="n"/>
      <c r="F104" s="23" t="n"/>
      <c r="G104" s="23" t="n"/>
      <c r="H104" s="25" t="n"/>
      <c r="I104" s="18" t="n"/>
      <c r="J104" s="23" t="n"/>
      <c r="K104" s="18" t="n"/>
      <c r="L104" s="18" t="n"/>
      <c r="M104" s="24">
        <f>IFERROR(IF(G104="","",G104-TODAY()),"")</f>
        <v/>
      </c>
      <c r="N104" s="24">
        <f>IFERROR(IF(OR(I104="Cleared",I104="Cancelled",G104=""),"",IF(G104&lt;TODAY(),"OVERDUE",IF(G104&lt;=TODAY()+'Setup &amp; Lists'!$M$7,"DUE SOON",""))),"CHECK DATE")</f>
        <v/>
      </c>
      <c r="O104" s="18" t="n"/>
    </row>
    <row r="105">
      <c r="A105" s="18" t="n"/>
      <c r="B105" s="18" t="n"/>
      <c r="C105" s="18" t="n"/>
      <c r="D105" s="18" t="n"/>
      <c r="E105" s="18" t="n"/>
      <c r="F105" s="23" t="n"/>
      <c r="G105" s="23" t="n"/>
      <c r="H105" s="25" t="n"/>
      <c r="I105" s="18" t="n"/>
      <c r="J105" s="23" t="n"/>
      <c r="K105" s="18" t="n"/>
      <c r="L105" s="18" t="n"/>
      <c r="M105" s="24">
        <f>IFERROR(IF(G105="","",G105-TODAY()),"")</f>
        <v/>
      </c>
      <c r="N105" s="24">
        <f>IFERROR(IF(OR(I105="Cleared",I105="Cancelled",G105=""),"",IF(G105&lt;TODAY(),"OVERDUE",IF(G105&lt;=TODAY()+'Setup &amp; Lists'!$M$7,"DUE SOON",""))),"CHECK DATE")</f>
        <v/>
      </c>
      <c r="O105" s="18" t="n"/>
    </row>
    <row r="106">
      <c r="A106" s="18" t="n"/>
      <c r="B106" s="18" t="n"/>
      <c r="C106" s="18" t="n"/>
      <c r="D106" s="18" t="n"/>
      <c r="E106" s="18" t="n"/>
      <c r="F106" s="23" t="n"/>
      <c r="G106" s="23" t="n"/>
      <c r="H106" s="25" t="n"/>
      <c r="I106" s="18" t="n"/>
      <c r="J106" s="23" t="n"/>
      <c r="K106" s="18" t="n"/>
      <c r="L106" s="18" t="n"/>
      <c r="M106" s="24">
        <f>IFERROR(IF(G106="","",G106-TODAY()),"")</f>
        <v/>
      </c>
      <c r="N106" s="24">
        <f>IFERROR(IF(OR(I106="Cleared",I106="Cancelled",G106=""),"",IF(G106&lt;TODAY(),"OVERDUE",IF(G106&lt;=TODAY()+'Setup &amp; Lists'!$M$7,"DUE SOON",""))),"CHECK DATE")</f>
        <v/>
      </c>
      <c r="O106" s="18" t="n"/>
    </row>
    <row r="107">
      <c r="A107" s="18" t="n"/>
      <c r="B107" s="18" t="n"/>
      <c r="C107" s="18" t="n"/>
      <c r="D107" s="18" t="n"/>
      <c r="E107" s="18" t="n"/>
      <c r="F107" s="23" t="n"/>
      <c r="G107" s="23" t="n"/>
      <c r="H107" s="25" t="n"/>
      <c r="I107" s="18" t="n"/>
      <c r="J107" s="23" t="n"/>
      <c r="K107" s="18" t="n"/>
      <c r="L107" s="18" t="n"/>
      <c r="M107" s="24">
        <f>IFERROR(IF(G107="","",G107-TODAY()),"")</f>
        <v/>
      </c>
      <c r="N107" s="24">
        <f>IFERROR(IF(OR(I107="Cleared",I107="Cancelled",G107=""),"",IF(G107&lt;TODAY(),"OVERDUE",IF(G107&lt;=TODAY()+'Setup &amp; Lists'!$M$7,"DUE SOON",""))),"CHECK DATE")</f>
        <v/>
      </c>
      <c r="O107" s="18" t="n"/>
    </row>
    <row r="108">
      <c r="A108" s="18" t="n"/>
      <c r="B108" s="18" t="n"/>
      <c r="C108" s="18" t="n"/>
      <c r="D108" s="18" t="n"/>
      <c r="E108" s="18" t="n"/>
      <c r="F108" s="23" t="n"/>
      <c r="G108" s="23" t="n"/>
      <c r="H108" s="25" t="n"/>
      <c r="I108" s="18" t="n"/>
      <c r="J108" s="23" t="n"/>
      <c r="K108" s="18" t="n"/>
      <c r="L108" s="18" t="n"/>
      <c r="M108" s="24">
        <f>IFERROR(IF(G108="","",G108-TODAY()),"")</f>
        <v/>
      </c>
      <c r="N108" s="24">
        <f>IFERROR(IF(OR(I108="Cleared",I108="Cancelled",G108=""),"",IF(G108&lt;TODAY(),"OVERDUE",IF(G108&lt;=TODAY()+'Setup &amp; Lists'!$M$7,"DUE SOON",""))),"CHECK DATE")</f>
        <v/>
      </c>
      <c r="O108" s="18" t="n"/>
    </row>
    <row r="109">
      <c r="A109" s="18" t="n"/>
      <c r="B109" s="18" t="n"/>
      <c r="C109" s="18" t="n"/>
      <c r="D109" s="18" t="n"/>
      <c r="E109" s="18" t="n"/>
      <c r="F109" s="23" t="n"/>
      <c r="G109" s="23" t="n"/>
      <c r="H109" s="25" t="n"/>
      <c r="I109" s="18" t="n"/>
      <c r="J109" s="23" t="n"/>
      <c r="K109" s="18" t="n"/>
      <c r="L109" s="18" t="n"/>
      <c r="M109" s="24">
        <f>IFERROR(IF(G109="","",G109-TODAY()),"")</f>
        <v/>
      </c>
      <c r="N109" s="24">
        <f>IFERROR(IF(OR(I109="Cleared",I109="Cancelled",G109=""),"",IF(G109&lt;TODAY(),"OVERDUE",IF(G109&lt;=TODAY()+'Setup &amp; Lists'!$M$7,"DUE SOON",""))),"CHECK DATE")</f>
        <v/>
      </c>
      <c r="O109" s="18" t="n"/>
    </row>
    <row r="110">
      <c r="A110" s="18" t="n"/>
      <c r="B110" s="18" t="n"/>
      <c r="C110" s="18" t="n"/>
      <c r="D110" s="18" t="n"/>
      <c r="E110" s="18" t="n"/>
      <c r="F110" s="23" t="n"/>
      <c r="G110" s="23" t="n"/>
      <c r="H110" s="25" t="n"/>
      <c r="I110" s="18" t="n"/>
      <c r="J110" s="23" t="n"/>
      <c r="K110" s="18" t="n"/>
      <c r="L110" s="18" t="n"/>
      <c r="M110" s="24">
        <f>IFERROR(IF(G110="","",G110-TODAY()),"")</f>
        <v/>
      </c>
      <c r="N110" s="24">
        <f>IFERROR(IF(OR(I110="Cleared",I110="Cancelled",G110=""),"",IF(G110&lt;TODAY(),"OVERDUE",IF(G110&lt;=TODAY()+'Setup &amp; Lists'!$M$7,"DUE SOON",""))),"CHECK DATE")</f>
        <v/>
      </c>
      <c r="O110" s="18" t="n"/>
    </row>
    <row r="111">
      <c r="A111" s="18" t="n"/>
      <c r="B111" s="18" t="n"/>
      <c r="C111" s="18" t="n"/>
      <c r="D111" s="18" t="n"/>
      <c r="E111" s="18" t="n"/>
      <c r="F111" s="23" t="n"/>
      <c r="G111" s="23" t="n"/>
      <c r="H111" s="25" t="n"/>
      <c r="I111" s="18" t="n"/>
      <c r="J111" s="23" t="n"/>
      <c r="K111" s="18" t="n"/>
      <c r="L111" s="18" t="n"/>
      <c r="M111" s="24">
        <f>IFERROR(IF(G111="","",G111-TODAY()),"")</f>
        <v/>
      </c>
      <c r="N111" s="24">
        <f>IFERROR(IF(OR(I111="Cleared",I111="Cancelled",G111=""),"",IF(G111&lt;TODAY(),"OVERDUE",IF(G111&lt;=TODAY()+'Setup &amp; Lists'!$M$7,"DUE SOON",""))),"CHECK DATE")</f>
        <v/>
      </c>
      <c r="O111" s="18" t="n"/>
    </row>
    <row r="112">
      <c r="A112" s="18" t="n"/>
      <c r="B112" s="18" t="n"/>
      <c r="C112" s="18" t="n"/>
      <c r="D112" s="18" t="n"/>
      <c r="E112" s="18" t="n"/>
      <c r="F112" s="23" t="n"/>
      <c r="G112" s="23" t="n"/>
      <c r="H112" s="25" t="n"/>
      <c r="I112" s="18" t="n"/>
      <c r="J112" s="23" t="n"/>
      <c r="K112" s="18" t="n"/>
      <c r="L112" s="18" t="n"/>
      <c r="M112" s="24">
        <f>IFERROR(IF(G112="","",G112-TODAY()),"")</f>
        <v/>
      </c>
      <c r="N112" s="24">
        <f>IFERROR(IF(OR(I112="Cleared",I112="Cancelled",G112=""),"",IF(G112&lt;TODAY(),"OVERDUE",IF(G112&lt;=TODAY()+'Setup &amp; Lists'!$M$7,"DUE SOON",""))),"CHECK DATE")</f>
        <v/>
      </c>
      <c r="O112" s="18" t="n"/>
    </row>
    <row r="113">
      <c r="A113" s="18" t="n"/>
      <c r="B113" s="18" t="n"/>
      <c r="C113" s="18" t="n"/>
      <c r="D113" s="18" t="n"/>
      <c r="E113" s="18" t="n"/>
      <c r="F113" s="23" t="n"/>
      <c r="G113" s="23" t="n"/>
      <c r="H113" s="25" t="n"/>
      <c r="I113" s="18" t="n"/>
      <c r="J113" s="23" t="n"/>
      <c r="K113" s="18" t="n"/>
      <c r="L113" s="18" t="n"/>
      <c r="M113" s="24">
        <f>IFERROR(IF(G113="","",G113-TODAY()),"")</f>
        <v/>
      </c>
      <c r="N113" s="24">
        <f>IFERROR(IF(OR(I113="Cleared",I113="Cancelled",G113=""),"",IF(G113&lt;TODAY(),"OVERDUE",IF(G113&lt;=TODAY()+'Setup &amp; Lists'!$M$7,"DUE SOON",""))),"CHECK DATE")</f>
        <v/>
      </c>
      <c r="O113" s="18" t="n"/>
    </row>
    <row r="114">
      <c r="A114" s="18" t="n"/>
      <c r="B114" s="18" t="n"/>
      <c r="C114" s="18" t="n"/>
      <c r="D114" s="18" t="n"/>
      <c r="E114" s="18" t="n"/>
      <c r="F114" s="23" t="n"/>
      <c r="G114" s="23" t="n"/>
      <c r="H114" s="25" t="n"/>
      <c r="I114" s="18" t="n"/>
      <c r="J114" s="23" t="n"/>
      <c r="K114" s="18" t="n"/>
      <c r="L114" s="18" t="n"/>
      <c r="M114" s="24">
        <f>IFERROR(IF(G114="","",G114-TODAY()),"")</f>
        <v/>
      </c>
      <c r="N114" s="24">
        <f>IFERROR(IF(OR(I114="Cleared",I114="Cancelled",G114=""),"",IF(G114&lt;TODAY(),"OVERDUE",IF(G114&lt;=TODAY()+'Setup &amp; Lists'!$M$7,"DUE SOON",""))),"CHECK DATE")</f>
        <v/>
      </c>
      <c r="O114" s="18" t="n"/>
    </row>
    <row r="115">
      <c r="A115" s="18" t="n"/>
      <c r="B115" s="18" t="n"/>
      <c r="C115" s="18" t="n"/>
      <c r="D115" s="18" t="n"/>
      <c r="E115" s="18" t="n"/>
      <c r="F115" s="23" t="n"/>
      <c r="G115" s="23" t="n"/>
      <c r="H115" s="25" t="n"/>
      <c r="I115" s="18" t="n"/>
      <c r="J115" s="23" t="n"/>
      <c r="K115" s="18" t="n"/>
      <c r="L115" s="18" t="n"/>
      <c r="M115" s="24">
        <f>IFERROR(IF(G115="","",G115-TODAY()),"")</f>
        <v/>
      </c>
      <c r="N115" s="24">
        <f>IFERROR(IF(OR(I115="Cleared",I115="Cancelled",G115=""),"",IF(G115&lt;TODAY(),"OVERDUE",IF(G115&lt;=TODAY()+'Setup &amp; Lists'!$M$7,"DUE SOON",""))),"CHECK DATE")</f>
        <v/>
      </c>
      <c r="O115" s="18" t="n"/>
    </row>
    <row r="116">
      <c r="A116" s="18" t="n"/>
      <c r="B116" s="18" t="n"/>
      <c r="C116" s="18" t="n"/>
      <c r="D116" s="18" t="n"/>
      <c r="E116" s="18" t="n"/>
      <c r="F116" s="23" t="n"/>
      <c r="G116" s="23" t="n"/>
      <c r="H116" s="25" t="n"/>
      <c r="I116" s="18" t="n"/>
      <c r="J116" s="23" t="n"/>
      <c r="K116" s="18" t="n"/>
      <c r="L116" s="18" t="n"/>
      <c r="M116" s="24">
        <f>IFERROR(IF(G116="","",G116-TODAY()),"")</f>
        <v/>
      </c>
      <c r="N116" s="24">
        <f>IFERROR(IF(OR(I116="Cleared",I116="Cancelled",G116=""),"",IF(G116&lt;TODAY(),"OVERDUE",IF(G116&lt;=TODAY()+'Setup &amp; Lists'!$M$7,"DUE SOON",""))),"CHECK DATE")</f>
        <v/>
      </c>
      <c r="O116" s="18" t="n"/>
    </row>
    <row r="117">
      <c r="A117" s="18" t="n"/>
      <c r="B117" s="18" t="n"/>
      <c r="C117" s="18" t="n"/>
      <c r="D117" s="18" t="n"/>
      <c r="E117" s="18" t="n"/>
      <c r="F117" s="23" t="n"/>
      <c r="G117" s="23" t="n"/>
      <c r="H117" s="25" t="n"/>
      <c r="I117" s="18" t="n"/>
      <c r="J117" s="23" t="n"/>
      <c r="K117" s="18" t="n"/>
      <c r="L117" s="18" t="n"/>
      <c r="M117" s="24">
        <f>IFERROR(IF(G117="","",G117-TODAY()),"")</f>
        <v/>
      </c>
      <c r="N117" s="24">
        <f>IFERROR(IF(OR(I117="Cleared",I117="Cancelled",G117=""),"",IF(G117&lt;TODAY(),"OVERDUE",IF(G117&lt;=TODAY()+'Setup &amp; Lists'!$M$7,"DUE SOON",""))),"CHECK DATE")</f>
        <v/>
      </c>
      <c r="O117" s="18" t="n"/>
    </row>
    <row r="118">
      <c r="A118" s="18" t="n"/>
      <c r="B118" s="18" t="n"/>
      <c r="C118" s="18" t="n"/>
      <c r="D118" s="18" t="n"/>
      <c r="E118" s="18" t="n"/>
      <c r="F118" s="23" t="n"/>
      <c r="G118" s="23" t="n"/>
      <c r="H118" s="25" t="n"/>
      <c r="I118" s="18" t="n"/>
      <c r="J118" s="23" t="n"/>
      <c r="K118" s="18" t="n"/>
      <c r="L118" s="18" t="n"/>
      <c r="M118" s="24">
        <f>IFERROR(IF(G118="","",G118-TODAY()),"")</f>
        <v/>
      </c>
      <c r="N118" s="24">
        <f>IFERROR(IF(OR(I118="Cleared",I118="Cancelled",G118=""),"",IF(G118&lt;TODAY(),"OVERDUE",IF(G118&lt;=TODAY()+'Setup &amp; Lists'!$M$7,"DUE SOON",""))),"CHECK DATE")</f>
        <v/>
      </c>
      <c r="O118" s="18" t="n"/>
    </row>
    <row r="119">
      <c r="A119" s="18" t="n"/>
      <c r="B119" s="18" t="n"/>
      <c r="C119" s="18" t="n"/>
      <c r="D119" s="18" t="n"/>
      <c r="E119" s="18" t="n"/>
      <c r="F119" s="23" t="n"/>
      <c r="G119" s="23" t="n"/>
      <c r="H119" s="25" t="n"/>
      <c r="I119" s="18" t="n"/>
      <c r="J119" s="23" t="n"/>
      <c r="K119" s="18" t="n"/>
      <c r="L119" s="18" t="n"/>
      <c r="M119" s="24">
        <f>IFERROR(IF(G119="","",G119-TODAY()),"")</f>
        <v/>
      </c>
      <c r="N119" s="24">
        <f>IFERROR(IF(OR(I119="Cleared",I119="Cancelled",G119=""),"",IF(G119&lt;TODAY(),"OVERDUE",IF(G119&lt;=TODAY()+'Setup &amp; Lists'!$M$7,"DUE SOON",""))),"CHECK DATE")</f>
        <v/>
      </c>
      <c r="O119" s="18" t="n"/>
    </row>
    <row r="120">
      <c r="A120" s="18" t="n"/>
      <c r="B120" s="18" t="n"/>
      <c r="C120" s="18" t="n"/>
      <c r="D120" s="18" t="n"/>
      <c r="E120" s="18" t="n"/>
      <c r="F120" s="23" t="n"/>
      <c r="G120" s="23" t="n"/>
      <c r="H120" s="25" t="n"/>
      <c r="I120" s="18" t="n"/>
      <c r="J120" s="23" t="n"/>
      <c r="K120" s="18" t="n"/>
      <c r="L120" s="18" t="n"/>
      <c r="M120" s="24">
        <f>IFERROR(IF(G120="","",G120-TODAY()),"")</f>
        <v/>
      </c>
      <c r="N120" s="24">
        <f>IFERROR(IF(OR(I120="Cleared",I120="Cancelled",G120=""),"",IF(G120&lt;TODAY(),"OVERDUE",IF(G120&lt;=TODAY()+'Setup &amp; Lists'!$M$7,"DUE SOON",""))),"CHECK DATE")</f>
        <v/>
      </c>
      <c r="O120" s="18" t="n"/>
    </row>
    <row r="121">
      <c r="A121" s="18" t="n"/>
      <c r="B121" s="18" t="n"/>
      <c r="C121" s="18" t="n"/>
      <c r="D121" s="18" t="n"/>
      <c r="E121" s="18" t="n"/>
      <c r="F121" s="23" t="n"/>
      <c r="G121" s="23" t="n"/>
      <c r="H121" s="25" t="n"/>
      <c r="I121" s="18" t="n"/>
      <c r="J121" s="23" t="n"/>
      <c r="K121" s="18" t="n"/>
      <c r="L121" s="18" t="n"/>
      <c r="M121" s="24">
        <f>IFERROR(IF(G121="","",G121-TODAY()),"")</f>
        <v/>
      </c>
      <c r="N121" s="24">
        <f>IFERROR(IF(OR(I121="Cleared",I121="Cancelled",G121=""),"",IF(G121&lt;TODAY(),"OVERDUE",IF(G121&lt;=TODAY()+'Setup &amp; Lists'!$M$7,"DUE SOON",""))),"CHECK DATE")</f>
        <v/>
      </c>
      <c r="O121" s="18" t="n"/>
    </row>
    <row r="122">
      <c r="A122" s="18" t="n"/>
      <c r="B122" s="18" t="n"/>
      <c r="C122" s="18" t="n"/>
      <c r="D122" s="18" t="n"/>
      <c r="E122" s="18" t="n"/>
      <c r="F122" s="23" t="n"/>
      <c r="G122" s="23" t="n"/>
      <c r="H122" s="25" t="n"/>
      <c r="I122" s="18" t="n"/>
      <c r="J122" s="23" t="n"/>
      <c r="K122" s="18" t="n"/>
      <c r="L122" s="18" t="n"/>
      <c r="M122" s="24">
        <f>IFERROR(IF(G122="","",G122-TODAY()),"")</f>
        <v/>
      </c>
      <c r="N122" s="24">
        <f>IFERROR(IF(OR(I122="Cleared",I122="Cancelled",G122=""),"",IF(G122&lt;TODAY(),"OVERDUE",IF(G122&lt;=TODAY()+'Setup &amp; Lists'!$M$7,"DUE SOON",""))),"CHECK DATE")</f>
        <v/>
      </c>
      <c r="O122" s="18" t="n"/>
    </row>
    <row r="123">
      <c r="A123" s="18" t="n"/>
      <c r="B123" s="18" t="n"/>
      <c r="C123" s="18" t="n"/>
      <c r="D123" s="18" t="n"/>
      <c r="E123" s="18" t="n"/>
      <c r="F123" s="23" t="n"/>
      <c r="G123" s="23" t="n"/>
      <c r="H123" s="25" t="n"/>
      <c r="I123" s="18" t="n"/>
      <c r="J123" s="23" t="n"/>
      <c r="K123" s="18" t="n"/>
      <c r="L123" s="18" t="n"/>
      <c r="M123" s="24">
        <f>IFERROR(IF(G123="","",G123-TODAY()),"")</f>
        <v/>
      </c>
      <c r="N123" s="24">
        <f>IFERROR(IF(OR(I123="Cleared",I123="Cancelled",G123=""),"",IF(G123&lt;TODAY(),"OVERDUE",IF(G123&lt;=TODAY()+'Setup &amp; Lists'!$M$7,"DUE SOON",""))),"CHECK DATE")</f>
        <v/>
      </c>
      <c r="O123" s="18" t="n"/>
    </row>
    <row r="124">
      <c r="A124" s="18" t="n"/>
      <c r="B124" s="18" t="n"/>
      <c r="C124" s="18" t="n"/>
      <c r="D124" s="18" t="n"/>
      <c r="E124" s="18" t="n"/>
      <c r="F124" s="23" t="n"/>
      <c r="G124" s="23" t="n"/>
      <c r="H124" s="25" t="n"/>
      <c r="I124" s="18" t="n"/>
      <c r="J124" s="23" t="n"/>
      <c r="K124" s="18" t="n"/>
      <c r="L124" s="18" t="n"/>
      <c r="M124" s="24">
        <f>IFERROR(IF(G124="","",G124-TODAY()),"")</f>
        <v/>
      </c>
      <c r="N124" s="24">
        <f>IFERROR(IF(OR(I124="Cleared",I124="Cancelled",G124=""),"",IF(G124&lt;TODAY(),"OVERDUE",IF(G124&lt;=TODAY()+'Setup &amp; Lists'!$M$7,"DUE SOON",""))),"CHECK DATE")</f>
        <v/>
      </c>
      <c r="O124" s="18" t="n"/>
    </row>
    <row r="125">
      <c r="A125" s="18" t="n"/>
      <c r="B125" s="18" t="n"/>
      <c r="C125" s="18" t="n"/>
      <c r="D125" s="18" t="n"/>
      <c r="E125" s="18" t="n"/>
      <c r="F125" s="23" t="n"/>
      <c r="G125" s="23" t="n"/>
      <c r="H125" s="25" t="n"/>
      <c r="I125" s="18" t="n"/>
      <c r="J125" s="23" t="n"/>
      <c r="K125" s="18" t="n"/>
      <c r="L125" s="18" t="n"/>
      <c r="M125" s="24">
        <f>IFERROR(IF(G125="","",G125-TODAY()),"")</f>
        <v/>
      </c>
      <c r="N125" s="24">
        <f>IFERROR(IF(OR(I125="Cleared",I125="Cancelled",G125=""),"",IF(G125&lt;TODAY(),"OVERDUE",IF(G125&lt;=TODAY()+'Setup &amp; Lists'!$M$7,"DUE SOON",""))),"CHECK DATE")</f>
        <v/>
      </c>
      <c r="O125" s="18" t="n"/>
    </row>
    <row r="126">
      <c r="A126" s="18" t="n"/>
      <c r="B126" s="18" t="n"/>
      <c r="C126" s="18" t="n"/>
      <c r="D126" s="18" t="n"/>
      <c r="E126" s="18" t="n"/>
      <c r="F126" s="23" t="n"/>
      <c r="G126" s="23" t="n"/>
      <c r="H126" s="25" t="n"/>
      <c r="I126" s="18" t="n"/>
      <c r="J126" s="23" t="n"/>
      <c r="K126" s="18" t="n"/>
      <c r="L126" s="18" t="n"/>
      <c r="M126" s="24">
        <f>IFERROR(IF(G126="","",G126-TODAY()),"")</f>
        <v/>
      </c>
      <c r="N126" s="24">
        <f>IFERROR(IF(OR(I126="Cleared",I126="Cancelled",G126=""),"",IF(G126&lt;TODAY(),"OVERDUE",IF(G126&lt;=TODAY()+'Setup &amp; Lists'!$M$7,"DUE SOON",""))),"CHECK DATE")</f>
        <v/>
      </c>
      <c r="O126" s="18" t="n"/>
    </row>
    <row r="127">
      <c r="A127" s="18" t="n"/>
      <c r="B127" s="18" t="n"/>
      <c r="C127" s="18" t="n"/>
      <c r="D127" s="18" t="n"/>
      <c r="E127" s="18" t="n"/>
      <c r="F127" s="23" t="n"/>
      <c r="G127" s="23" t="n"/>
      <c r="H127" s="25" t="n"/>
      <c r="I127" s="18" t="n"/>
      <c r="J127" s="23" t="n"/>
      <c r="K127" s="18" t="n"/>
      <c r="L127" s="18" t="n"/>
      <c r="M127" s="24">
        <f>IFERROR(IF(G127="","",G127-TODAY()),"")</f>
        <v/>
      </c>
      <c r="N127" s="24">
        <f>IFERROR(IF(OR(I127="Cleared",I127="Cancelled",G127=""),"",IF(G127&lt;TODAY(),"OVERDUE",IF(G127&lt;=TODAY()+'Setup &amp; Lists'!$M$7,"DUE SOON",""))),"CHECK DATE")</f>
        <v/>
      </c>
      <c r="O127" s="18" t="n"/>
    </row>
    <row r="128">
      <c r="A128" s="18" t="n"/>
      <c r="B128" s="18" t="n"/>
      <c r="C128" s="18" t="n"/>
      <c r="D128" s="18" t="n"/>
      <c r="E128" s="18" t="n"/>
      <c r="F128" s="23" t="n"/>
      <c r="G128" s="23" t="n"/>
      <c r="H128" s="25" t="n"/>
      <c r="I128" s="18" t="n"/>
      <c r="J128" s="23" t="n"/>
      <c r="K128" s="18" t="n"/>
      <c r="L128" s="18" t="n"/>
      <c r="M128" s="24">
        <f>IFERROR(IF(G128="","",G128-TODAY()),"")</f>
        <v/>
      </c>
      <c r="N128" s="24">
        <f>IFERROR(IF(OR(I128="Cleared",I128="Cancelled",G128=""),"",IF(G128&lt;TODAY(),"OVERDUE",IF(G128&lt;=TODAY()+'Setup &amp; Lists'!$M$7,"DUE SOON",""))),"CHECK DATE")</f>
        <v/>
      </c>
      <c r="O128" s="18" t="n"/>
    </row>
    <row r="129">
      <c r="A129" s="18" t="n"/>
      <c r="B129" s="18" t="n"/>
      <c r="C129" s="18" t="n"/>
      <c r="D129" s="18" t="n"/>
      <c r="E129" s="18" t="n"/>
      <c r="F129" s="23" t="n"/>
      <c r="G129" s="23" t="n"/>
      <c r="H129" s="25" t="n"/>
      <c r="I129" s="18" t="n"/>
      <c r="J129" s="23" t="n"/>
      <c r="K129" s="18" t="n"/>
      <c r="L129" s="18" t="n"/>
      <c r="M129" s="24">
        <f>IFERROR(IF(G129="","",G129-TODAY()),"")</f>
        <v/>
      </c>
      <c r="N129" s="24">
        <f>IFERROR(IF(OR(I129="Cleared",I129="Cancelled",G129=""),"",IF(G129&lt;TODAY(),"OVERDUE",IF(G129&lt;=TODAY()+'Setup &amp; Lists'!$M$7,"DUE SOON",""))),"CHECK DATE")</f>
        <v/>
      </c>
      <c r="O129" s="18" t="n"/>
    </row>
    <row r="130">
      <c r="A130" s="18" t="n"/>
      <c r="B130" s="18" t="n"/>
      <c r="C130" s="18" t="n"/>
      <c r="D130" s="18" t="n"/>
      <c r="E130" s="18" t="n"/>
      <c r="F130" s="23" t="n"/>
      <c r="G130" s="23" t="n"/>
      <c r="H130" s="25" t="n"/>
      <c r="I130" s="18" t="n"/>
      <c r="J130" s="23" t="n"/>
      <c r="K130" s="18" t="n"/>
      <c r="L130" s="18" t="n"/>
      <c r="M130" s="24">
        <f>IFERROR(IF(G130="","",G130-TODAY()),"")</f>
        <v/>
      </c>
      <c r="N130" s="24">
        <f>IFERROR(IF(OR(I130="Cleared",I130="Cancelled",G130=""),"",IF(G130&lt;TODAY(),"OVERDUE",IF(G130&lt;=TODAY()+'Setup &amp; Lists'!$M$7,"DUE SOON",""))),"CHECK DATE")</f>
        <v/>
      </c>
      <c r="O130" s="18" t="n"/>
    </row>
    <row r="131">
      <c r="A131" s="18" t="n"/>
      <c r="B131" s="18" t="n"/>
      <c r="C131" s="18" t="n"/>
      <c r="D131" s="18" t="n"/>
      <c r="E131" s="18" t="n"/>
      <c r="F131" s="23" t="n"/>
      <c r="G131" s="23" t="n"/>
      <c r="H131" s="25" t="n"/>
      <c r="I131" s="18" t="n"/>
      <c r="J131" s="23" t="n"/>
      <c r="K131" s="18" t="n"/>
      <c r="L131" s="18" t="n"/>
      <c r="M131" s="24">
        <f>IFERROR(IF(G131="","",G131-TODAY()),"")</f>
        <v/>
      </c>
      <c r="N131" s="24">
        <f>IFERROR(IF(OR(I131="Cleared",I131="Cancelled",G131=""),"",IF(G131&lt;TODAY(),"OVERDUE",IF(G131&lt;=TODAY()+'Setup &amp; Lists'!$M$7,"DUE SOON",""))),"CHECK DATE")</f>
        <v/>
      </c>
      <c r="O131" s="18" t="n"/>
    </row>
    <row r="132">
      <c r="A132" s="18" t="n"/>
      <c r="B132" s="18" t="n"/>
      <c r="C132" s="18" t="n"/>
      <c r="D132" s="18" t="n"/>
      <c r="E132" s="18" t="n"/>
      <c r="F132" s="23" t="n"/>
      <c r="G132" s="23" t="n"/>
      <c r="H132" s="25" t="n"/>
      <c r="I132" s="18" t="n"/>
      <c r="J132" s="23" t="n"/>
      <c r="K132" s="18" t="n"/>
      <c r="L132" s="18" t="n"/>
      <c r="M132" s="24">
        <f>IFERROR(IF(G132="","",G132-TODAY()),"")</f>
        <v/>
      </c>
      <c r="N132" s="24">
        <f>IFERROR(IF(OR(I132="Cleared",I132="Cancelled",G132=""),"",IF(G132&lt;TODAY(),"OVERDUE",IF(G132&lt;=TODAY()+'Setup &amp; Lists'!$M$7,"DUE SOON",""))),"CHECK DATE")</f>
        <v/>
      </c>
      <c r="O132" s="18" t="n"/>
    </row>
    <row r="133">
      <c r="A133" s="18" t="n"/>
      <c r="B133" s="18" t="n"/>
      <c r="C133" s="18" t="n"/>
      <c r="D133" s="18" t="n"/>
      <c r="E133" s="18" t="n"/>
      <c r="F133" s="23" t="n"/>
      <c r="G133" s="23" t="n"/>
      <c r="H133" s="25" t="n"/>
      <c r="I133" s="18" t="n"/>
      <c r="J133" s="23" t="n"/>
      <c r="K133" s="18" t="n"/>
      <c r="L133" s="18" t="n"/>
      <c r="M133" s="24">
        <f>IFERROR(IF(G133="","",G133-TODAY()),"")</f>
        <v/>
      </c>
      <c r="N133" s="24">
        <f>IFERROR(IF(OR(I133="Cleared",I133="Cancelled",G133=""),"",IF(G133&lt;TODAY(),"OVERDUE",IF(G133&lt;=TODAY()+'Setup &amp; Lists'!$M$7,"DUE SOON",""))),"CHECK DATE")</f>
        <v/>
      </c>
      <c r="O133" s="18" t="n"/>
    </row>
    <row r="134">
      <c r="A134" s="18" t="n"/>
      <c r="B134" s="18" t="n"/>
      <c r="C134" s="18" t="n"/>
      <c r="D134" s="18" t="n"/>
      <c r="E134" s="18" t="n"/>
      <c r="F134" s="23" t="n"/>
      <c r="G134" s="23" t="n"/>
      <c r="H134" s="25" t="n"/>
      <c r="I134" s="18" t="n"/>
      <c r="J134" s="23" t="n"/>
      <c r="K134" s="18" t="n"/>
      <c r="L134" s="18" t="n"/>
      <c r="M134" s="24">
        <f>IFERROR(IF(G134="","",G134-TODAY()),"")</f>
        <v/>
      </c>
      <c r="N134" s="24">
        <f>IFERROR(IF(OR(I134="Cleared",I134="Cancelled",G134=""),"",IF(G134&lt;TODAY(),"OVERDUE",IF(G134&lt;=TODAY()+'Setup &amp; Lists'!$M$7,"DUE SOON",""))),"CHECK DATE")</f>
        <v/>
      </c>
      <c r="O134" s="18" t="n"/>
    </row>
    <row r="135">
      <c r="A135" s="18" t="n"/>
      <c r="B135" s="18" t="n"/>
      <c r="C135" s="18" t="n"/>
      <c r="D135" s="18" t="n"/>
      <c r="E135" s="18" t="n"/>
      <c r="F135" s="23" t="n"/>
      <c r="G135" s="23" t="n"/>
      <c r="H135" s="25" t="n"/>
      <c r="I135" s="18" t="n"/>
      <c r="J135" s="23" t="n"/>
      <c r="K135" s="18" t="n"/>
      <c r="L135" s="18" t="n"/>
      <c r="M135" s="24">
        <f>IFERROR(IF(G135="","",G135-TODAY()),"")</f>
        <v/>
      </c>
      <c r="N135" s="24">
        <f>IFERROR(IF(OR(I135="Cleared",I135="Cancelled",G135=""),"",IF(G135&lt;TODAY(),"OVERDUE",IF(G135&lt;=TODAY()+'Setup &amp; Lists'!$M$7,"DUE SOON",""))),"CHECK DATE")</f>
        <v/>
      </c>
      <c r="O135" s="18" t="n"/>
    </row>
    <row r="136">
      <c r="A136" s="18" t="n"/>
      <c r="B136" s="18" t="n"/>
      <c r="C136" s="18" t="n"/>
      <c r="D136" s="18" t="n"/>
      <c r="E136" s="18" t="n"/>
      <c r="F136" s="23" t="n"/>
      <c r="G136" s="23" t="n"/>
      <c r="H136" s="25" t="n"/>
      <c r="I136" s="18" t="n"/>
      <c r="J136" s="23" t="n"/>
      <c r="K136" s="18" t="n"/>
      <c r="L136" s="18" t="n"/>
      <c r="M136" s="24">
        <f>IFERROR(IF(G136="","",G136-TODAY()),"")</f>
        <v/>
      </c>
      <c r="N136" s="24">
        <f>IFERROR(IF(OR(I136="Cleared",I136="Cancelled",G136=""),"",IF(G136&lt;TODAY(),"OVERDUE",IF(G136&lt;=TODAY()+'Setup &amp; Lists'!$M$7,"DUE SOON",""))),"CHECK DATE")</f>
        <v/>
      </c>
      <c r="O136" s="18" t="n"/>
    </row>
    <row r="137">
      <c r="A137" s="18" t="n"/>
      <c r="B137" s="18" t="n"/>
      <c r="C137" s="18" t="n"/>
      <c r="D137" s="18" t="n"/>
      <c r="E137" s="18" t="n"/>
      <c r="F137" s="23" t="n"/>
      <c r="G137" s="23" t="n"/>
      <c r="H137" s="25" t="n"/>
      <c r="I137" s="18" t="n"/>
      <c r="J137" s="23" t="n"/>
      <c r="K137" s="18" t="n"/>
      <c r="L137" s="18" t="n"/>
      <c r="M137" s="24">
        <f>IFERROR(IF(G137="","",G137-TODAY()),"")</f>
        <v/>
      </c>
      <c r="N137" s="24">
        <f>IFERROR(IF(OR(I137="Cleared",I137="Cancelled",G137=""),"",IF(G137&lt;TODAY(),"OVERDUE",IF(G137&lt;=TODAY()+'Setup &amp; Lists'!$M$7,"DUE SOON",""))),"CHECK DATE")</f>
        <v/>
      </c>
      <c r="O137" s="18" t="n"/>
    </row>
    <row r="138">
      <c r="A138" s="18" t="n"/>
      <c r="B138" s="18" t="n"/>
      <c r="C138" s="18" t="n"/>
      <c r="D138" s="18" t="n"/>
      <c r="E138" s="18" t="n"/>
      <c r="F138" s="23" t="n"/>
      <c r="G138" s="23" t="n"/>
      <c r="H138" s="25" t="n"/>
      <c r="I138" s="18" t="n"/>
      <c r="J138" s="23" t="n"/>
      <c r="K138" s="18" t="n"/>
      <c r="L138" s="18" t="n"/>
      <c r="M138" s="24">
        <f>IFERROR(IF(G138="","",G138-TODAY()),"")</f>
        <v/>
      </c>
      <c r="N138" s="24">
        <f>IFERROR(IF(OR(I138="Cleared",I138="Cancelled",G138=""),"",IF(G138&lt;TODAY(),"OVERDUE",IF(G138&lt;=TODAY()+'Setup &amp; Lists'!$M$7,"DUE SOON",""))),"CHECK DATE")</f>
        <v/>
      </c>
      <c r="O138" s="18" t="n"/>
    </row>
    <row r="139">
      <c r="A139" s="18" t="n"/>
      <c r="B139" s="18" t="n"/>
      <c r="C139" s="18" t="n"/>
      <c r="D139" s="18" t="n"/>
      <c r="E139" s="18" t="n"/>
      <c r="F139" s="23" t="n"/>
      <c r="G139" s="23" t="n"/>
      <c r="H139" s="25" t="n"/>
      <c r="I139" s="18" t="n"/>
      <c r="J139" s="23" t="n"/>
      <c r="K139" s="18" t="n"/>
      <c r="L139" s="18" t="n"/>
      <c r="M139" s="24">
        <f>IFERROR(IF(G139="","",G139-TODAY()),"")</f>
        <v/>
      </c>
      <c r="N139" s="24">
        <f>IFERROR(IF(OR(I139="Cleared",I139="Cancelled",G139=""),"",IF(G139&lt;TODAY(),"OVERDUE",IF(G139&lt;=TODAY()+'Setup &amp; Lists'!$M$7,"DUE SOON",""))),"CHECK DATE")</f>
        <v/>
      </c>
      <c r="O139" s="18" t="n"/>
    </row>
    <row r="140">
      <c r="A140" s="18" t="n"/>
      <c r="B140" s="18" t="n"/>
      <c r="C140" s="18" t="n"/>
      <c r="D140" s="18" t="n"/>
      <c r="E140" s="18" t="n"/>
      <c r="F140" s="23" t="n"/>
      <c r="G140" s="23" t="n"/>
      <c r="H140" s="25" t="n"/>
      <c r="I140" s="18" t="n"/>
      <c r="J140" s="23" t="n"/>
      <c r="K140" s="18" t="n"/>
      <c r="L140" s="18" t="n"/>
      <c r="M140" s="24">
        <f>IFERROR(IF(G140="","",G140-TODAY()),"")</f>
        <v/>
      </c>
      <c r="N140" s="24">
        <f>IFERROR(IF(OR(I140="Cleared",I140="Cancelled",G140=""),"",IF(G140&lt;TODAY(),"OVERDUE",IF(G140&lt;=TODAY()+'Setup &amp; Lists'!$M$7,"DUE SOON",""))),"CHECK DATE")</f>
        <v/>
      </c>
      <c r="O140" s="18" t="n"/>
    </row>
    <row r="141">
      <c r="A141" s="18" t="n"/>
      <c r="B141" s="18" t="n"/>
      <c r="C141" s="18" t="n"/>
      <c r="D141" s="18" t="n"/>
      <c r="E141" s="18" t="n"/>
      <c r="F141" s="23" t="n"/>
      <c r="G141" s="23" t="n"/>
      <c r="H141" s="25" t="n"/>
      <c r="I141" s="18" t="n"/>
      <c r="J141" s="23" t="n"/>
      <c r="K141" s="18" t="n"/>
      <c r="L141" s="18" t="n"/>
      <c r="M141" s="24">
        <f>IFERROR(IF(G141="","",G141-TODAY()),"")</f>
        <v/>
      </c>
      <c r="N141" s="24">
        <f>IFERROR(IF(OR(I141="Cleared",I141="Cancelled",G141=""),"",IF(G141&lt;TODAY(),"OVERDUE",IF(G141&lt;=TODAY()+'Setup &amp; Lists'!$M$7,"DUE SOON",""))),"CHECK DATE")</f>
        <v/>
      </c>
      <c r="O141" s="18" t="n"/>
    </row>
    <row r="142">
      <c r="A142" s="18" t="n"/>
      <c r="B142" s="18" t="n"/>
      <c r="C142" s="18" t="n"/>
      <c r="D142" s="18" t="n"/>
      <c r="E142" s="18" t="n"/>
      <c r="F142" s="23" t="n"/>
      <c r="G142" s="23" t="n"/>
      <c r="H142" s="25" t="n"/>
      <c r="I142" s="18" t="n"/>
      <c r="J142" s="23" t="n"/>
      <c r="K142" s="18" t="n"/>
      <c r="L142" s="18" t="n"/>
      <c r="M142" s="24">
        <f>IFERROR(IF(G142="","",G142-TODAY()),"")</f>
        <v/>
      </c>
      <c r="N142" s="24">
        <f>IFERROR(IF(OR(I142="Cleared",I142="Cancelled",G142=""),"",IF(G142&lt;TODAY(),"OVERDUE",IF(G142&lt;=TODAY()+'Setup &amp; Lists'!$M$7,"DUE SOON",""))),"CHECK DATE")</f>
        <v/>
      </c>
      <c r="O142" s="18" t="n"/>
    </row>
    <row r="143">
      <c r="A143" s="18" t="n"/>
      <c r="B143" s="18" t="n"/>
      <c r="C143" s="18" t="n"/>
      <c r="D143" s="18" t="n"/>
      <c r="E143" s="18" t="n"/>
      <c r="F143" s="23" t="n"/>
      <c r="G143" s="23" t="n"/>
      <c r="H143" s="25" t="n"/>
      <c r="I143" s="18" t="n"/>
      <c r="J143" s="23" t="n"/>
      <c r="K143" s="18" t="n"/>
      <c r="L143" s="18" t="n"/>
      <c r="M143" s="24">
        <f>IFERROR(IF(G143="","",G143-TODAY()),"")</f>
        <v/>
      </c>
      <c r="N143" s="24">
        <f>IFERROR(IF(OR(I143="Cleared",I143="Cancelled",G143=""),"",IF(G143&lt;TODAY(),"OVERDUE",IF(G143&lt;=TODAY()+'Setup &amp; Lists'!$M$7,"DUE SOON",""))),"CHECK DATE")</f>
        <v/>
      </c>
      <c r="O143" s="18" t="n"/>
    </row>
    <row r="144">
      <c r="A144" s="18" t="n"/>
      <c r="B144" s="18" t="n"/>
      <c r="C144" s="18" t="n"/>
      <c r="D144" s="18" t="n"/>
      <c r="E144" s="18" t="n"/>
      <c r="F144" s="23" t="n"/>
      <c r="G144" s="23" t="n"/>
      <c r="H144" s="25" t="n"/>
      <c r="I144" s="18" t="n"/>
      <c r="J144" s="23" t="n"/>
      <c r="K144" s="18" t="n"/>
      <c r="L144" s="18" t="n"/>
      <c r="M144" s="24">
        <f>IFERROR(IF(G144="","",G144-TODAY()),"")</f>
        <v/>
      </c>
      <c r="N144" s="24">
        <f>IFERROR(IF(OR(I144="Cleared",I144="Cancelled",G144=""),"",IF(G144&lt;TODAY(),"OVERDUE",IF(G144&lt;=TODAY()+'Setup &amp; Lists'!$M$7,"DUE SOON",""))),"CHECK DATE")</f>
        <v/>
      </c>
      <c r="O144" s="18" t="n"/>
    </row>
    <row r="145">
      <c r="A145" s="18" t="n"/>
      <c r="B145" s="18" t="n"/>
      <c r="C145" s="18" t="n"/>
      <c r="D145" s="18" t="n"/>
      <c r="E145" s="18" t="n"/>
      <c r="F145" s="23" t="n"/>
      <c r="G145" s="23" t="n"/>
      <c r="H145" s="25" t="n"/>
      <c r="I145" s="18" t="n"/>
      <c r="J145" s="23" t="n"/>
      <c r="K145" s="18" t="n"/>
      <c r="L145" s="18" t="n"/>
      <c r="M145" s="24">
        <f>IFERROR(IF(G145="","",G145-TODAY()),"")</f>
        <v/>
      </c>
      <c r="N145" s="24">
        <f>IFERROR(IF(OR(I145="Cleared",I145="Cancelled",G145=""),"",IF(G145&lt;TODAY(),"OVERDUE",IF(G145&lt;=TODAY()+'Setup &amp; Lists'!$M$7,"DUE SOON",""))),"CHECK DATE")</f>
        <v/>
      </c>
      <c r="O145" s="18" t="n"/>
    </row>
    <row r="146">
      <c r="A146" s="18" t="n"/>
      <c r="B146" s="18" t="n"/>
      <c r="C146" s="18" t="n"/>
      <c r="D146" s="18" t="n"/>
      <c r="E146" s="18" t="n"/>
      <c r="F146" s="23" t="n"/>
      <c r="G146" s="23" t="n"/>
      <c r="H146" s="25" t="n"/>
      <c r="I146" s="18" t="n"/>
      <c r="J146" s="23" t="n"/>
      <c r="K146" s="18" t="n"/>
      <c r="L146" s="18" t="n"/>
      <c r="M146" s="24">
        <f>IFERROR(IF(G146="","",G146-TODAY()),"")</f>
        <v/>
      </c>
      <c r="N146" s="24">
        <f>IFERROR(IF(OR(I146="Cleared",I146="Cancelled",G146=""),"",IF(G146&lt;TODAY(),"OVERDUE",IF(G146&lt;=TODAY()+'Setup &amp; Lists'!$M$7,"DUE SOON",""))),"CHECK DATE")</f>
        <v/>
      </c>
      <c r="O146" s="18" t="n"/>
    </row>
    <row r="147">
      <c r="A147" s="18" t="n"/>
      <c r="B147" s="18" t="n"/>
      <c r="C147" s="18" t="n"/>
      <c r="D147" s="18" t="n"/>
      <c r="E147" s="18" t="n"/>
      <c r="F147" s="23" t="n"/>
      <c r="G147" s="23" t="n"/>
      <c r="H147" s="25" t="n"/>
      <c r="I147" s="18" t="n"/>
      <c r="J147" s="23" t="n"/>
      <c r="K147" s="18" t="n"/>
      <c r="L147" s="18" t="n"/>
      <c r="M147" s="24">
        <f>IFERROR(IF(G147="","",G147-TODAY()),"")</f>
        <v/>
      </c>
      <c r="N147" s="24">
        <f>IFERROR(IF(OR(I147="Cleared",I147="Cancelled",G147=""),"",IF(G147&lt;TODAY(),"OVERDUE",IF(G147&lt;=TODAY()+'Setup &amp; Lists'!$M$7,"DUE SOON",""))),"CHECK DATE")</f>
        <v/>
      </c>
      <c r="O147" s="18" t="n"/>
    </row>
    <row r="148">
      <c r="A148" s="18" t="n"/>
      <c r="B148" s="18" t="n"/>
      <c r="C148" s="18" t="n"/>
      <c r="D148" s="18" t="n"/>
      <c r="E148" s="18" t="n"/>
      <c r="F148" s="23" t="n"/>
      <c r="G148" s="23" t="n"/>
      <c r="H148" s="25" t="n"/>
      <c r="I148" s="18" t="n"/>
      <c r="J148" s="23" t="n"/>
      <c r="K148" s="18" t="n"/>
      <c r="L148" s="18" t="n"/>
      <c r="M148" s="24">
        <f>IFERROR(IF(G148="","",G148-TODAY()),"")</f>
        <v/>
      </c>
      <c r="N148" s="24">
        <f>IFERROR(IF(OR(I148="Cleared",I148="Cancelled",G148=""),"",IF(G148&lt;TODAY(),"OVERDUE",IF(G148&lt;=TODAY()+'Setup &amp; Lists'!$M$7,"DUE SOON",""))),"CHECK DATE")</f>
        <v/>
      </c>
      <c r="O148" s="18" t="n"/>
    </row>
    <row r="149">
      <c r="A149" s="18" t="n"/>
      <c r="B149" s="18" t="n"/>
      <c r="C149" s="18" t="n"/>
      <c r="D149" s="18" t="n"/>
      <c r="E149" s="18" t="n"/>
      <c r="F149" s="23" t="n"/>
      <c r="G149" s="23" t="n"/>
      <c r="H149" s="25" t="n"/>
      <c r="I149" s="18" t="n"/>
      <c r="J149" s="23" t="n"/>
      <c r="K149" s="18" t="n"/>
      <c r="L149" s="18" t="n"/>
      <c r="M149" s="24">
        <f>IFERROR(IF(G149="","",G149-TODAY()),"")</f>
        <v/>
      </c>
      <c r="N149" s="24">
        <f>IFERROR(IF(OR(I149="Cleared",I149="Cancelled",G149=""),"",IF(G149&lt;TODAY(),"OVERDUE",IF(G149&lt;=TODAY()+'Setup &amp; Lists'!$M$7,"DUE SOON",""))),"CHECK DATE")</f>
        <v/>
      </c>
      <c r="O149" s="18" t="n"/>
    </row>
    <row r="150">
      <c r="A150" s="18" t="n"/>
      <c r="B150" s="18" t="n"/>
      <c r="C150" s="18" t="n"/>
      <c r="D150" s="18" t="n"/>
      <c r="E150" s="18" t="n"/>
      <c r="F150" s="23" t="n"/>
      <c r="G150" s="23" t="n"/>
      <c r="H150" s="25" t="n"/>
      <c r="I150" s="18" t="n"/>
      <c r="J150" s="23" t="n"/>
      <c r="K150" s="18" t="n"/>
      <c r="L150" s="18" t="n"/>
      <c r="M150" s="24">
        <f>IFERROR(IF(G150="","",G150-TODAY()),"")</f>
        <v/>
      </c>
      <c r="N150" s="24">
        <f>IFERROR(IF(OR(I150="Cleared",I150="Cancelled",G150=""),"",IF(G150&lt;TODAY(),"OVERDUE",IF(G150&lt;=TODAY()+'Setup &amp; Lists'!$M$7,"DUE SOON",""))),"CHECK DATE")</f>
        <v/>
      </c>
      <c r="O150" s="18" t="n"/>
    </row>
    <row r="151">
      <c r="A151" s="18" t="n"/>
      <c r="B151" s="18" t="n"/>
      <c r="C151" s="18" t="n"/>
      <c r="D151" s="18" t="n"/>
      <c r="E151" s="18" t="n"/>
      <c r="F151" s="23" t="n"/>
      <c r="G151" s="23" t="n"/>
      <c r="H151" s="25" t="n"/>
      <c r="I151" s="18" t="n"/>
      <c r="J151" s="23" t="n"/>
      <c r="K151" s="18" t="n"/>
      <c r="L151" s="18" t="n"/>
      <c r="M151" s="24">
        <f>IFERROR(IF(G151="","",G151-TODAY()),"")</f>
        <v/>
      </c>
      <c r="N151" s="24">
        <f>IFERROR(IF(OR(I151="Cleared",I151="Cancelled",G151=""),"",IF(G151&lt;TODAY(),"OVERDUE",IF(G151&lt;=TODAY()+'Setup &amp; Lists'!$M$7,"DUE SOON",""))),"CHECK DATE")</f>
        <v/>
      </c>
      <c r="O151" s="18" t="n"/>
    </row>
    <row r="152">
      <c r="A152" s="18" t="n"/>
      <c r="B152" s="18" t="n"/>
      <c r="C152" s="18" t="n"/>
      <c r="D152" s="18" t="n"/>
      <c r="E152" s="18" t="n"/>
      <c r="F152" s="23" t="n"/>
      <c r="G152" s="23" t="n"/>
      <c r="H152" s="25" t="n"/>
      <c r="I152" s="18" t="n"/>
      <c r="J152" s="23" t="n"/>
      <c r="K152" s="18" t="n"/>
      <c r="L152" s="18" t="n"/>
      <c r="M152" s="24">
        <f>IFERROR(IF(G152="","",G152-TODAY()),"")</f>
        <v/>
      </c>
      <c r="N152" s="24">
        <f>IFERROR(IF(OR(I152="Cleared",I152="Cancelled",G152=""),"",IF(G152&lt;TODAY(),"OVERDUE",IF(G152&lt;=TODAY()+'Setup &amp; Lists'!$M$7,"DUE SOON",""))),"CHECK DATE")</f>
        <v/>
      </c>
      <c r="O152" s="18" t="n"/>
    </row>
    <row r="153">
      <c r="A153" s="18" t="n"/>
      <c r="B153" s="18" t="n"/>
      <c r="C153" s="18" t="n"/>
      <c r="D153" s="18" t="n"/>
      <c r="E153" s="18" t="n"/>
      <c r="F153" s="23" t="n"/>
      <c r="G153" s="23" t="n"/>
      <c r="H153" s="25" t="n"/>
      <c r="I153" s="18" t="n"/>
      <c r="J153" s="23" t="n"/>
      <c r="K153" s="18" t="n"/>
      <c r="L153" s="18" t="n"/>
      <c r="M153" s="24">
        <f>IFERROR(IF(G153="","",G153-TODAY()),"")</f>
        <v/>
      </c>
      <c r="N153" s="24">
        <f>IFERROR(IF(OR(I153="Cleared",I153="Cancelled",G153=""),"",IF(G153&lt;TODAY(),"OVERDUE",IF(G153&lt;=TODAY()+'Setup &amp; Lists'!$M$7,"DUE SOON",""))),"CHECK DATE")</f>
        <v/>
      </c>
      <c r="O153" s="18" t="n"/>
    </row>
    <row r="154">
      <c r="A154" s="18" t="n"/>
      <c r="B154" s="18" t="n"/>
      <c r="C154" s="18" t="n"/>
      <c r="D154" s="18" t="n"/>
      <c r="E154" s="18" t="n"/>
      <c r="F154" s="23" t="n"/>
      <c r="G154" s="23" t="n"/>
      <c r="H154" s="25" t="n"/>
      <c r="I154" s="18" t="n"/>
      <c r="J154" s="23" t="n"/>
      <c r="K154" s="18" t="n"/>
      <c r="L154" s="18" t="n"/>
      <c r="M154" s="24">
        <f>IFERROR(IF(G154="","",G154-TODAY()),"")</f>
        <v/>
      </c>
      <c r="N154" s="24">
        <f>IFERROR(IF(OR(I154="Cleared",I154="Cancelled",G154=""),"",IF(G154&lt;TODAY(),"OVERDUE",IF(G154&lt;=TODAY()+'Setup &amp; Lists'!$M$7,"DUE SOON",""))),"CHECK DATE")</f>
        <v/>
      </c>
      <c r="O154" s="18" t="n"/>
    </row>
    <row r="155">
      <c r="A155" s="18" t="n"/>
      <c r="B155" s="18" t="n"/>
      <c r="C155" s="18" t="n"/>
      <c r="D155" s="18" t="n"/>
      <c r="E155" s="18" t="n"/>
      <c r="F155" s="23" t="n"/>
      <c r="G155" s="23" t="n"/>
      <c r="H155" s="25" t="n"/>
      <c r="I155" s="18" t="n"/>
      <c r="J155" s="23" t="n"/>
      <c r="K155" s="18" t="n"/>
      <c r="L155" s="18" t="n"/>
      <c r="M155" s="24">
        <f>IFERROR(IF(G155="","",G155-TODAY()),"")</f>
        <v/>
      </c>
      <c r="N155" s="24">
        <f>IFERROR(IF(OR(I155="Cleared",I155="Cancelled",G155=""),"",IF(G155&lt;TODAY(),"OVERDUE",IF(G155&lt;=TODAY()+'Setup &amp; Lists'!$M$7,"DUE SOON",""))),"CHECK DATE")</f>
        <v/>
      </c>
      <c r="O155" s="18" t="n"/>
    </row>
    <row r="156">
      <c r="A156" s="18" t="n"/>
      <c r="B156" s="18" t="n"/>
      <c r="C156" s="18" t="n"/>
      <c r="D156" s="18" t="n"/>
      <c r="E156" s="18" t="n"/>
      <c r="F156" s="23" t="n"/>
      <c r="G156" s="23" t="n"/>
      <c r="H156" s="25" t="n"/>
      <c r="I156" s="18" t="n"/>
      <c r="J156" s="23" t="n"/>
      <c r="K156" s="18" t="n"/>
      <c r="L156" s="18" t="n"/>
      <c r="M156" s="24">
        <f>IFERROR(IF(G156="","",G156-TODAY()),"")</f>
        <v/>
      </c>
      <c r="N156" s="24">
        <f>IFERROR(IF(OR(I156="Cleared",I156="Cancelled",G156=""),"",IF(G156&lt;TODAY(),"OVERDUE",IF(G156&lt;=TODAY()+'Setup &amp; Lists'!$M$7,"DUE SOON",""))),"CHECK DATE")</f>
        <v/>
      </c>
      <c r="O156" s="18" t="n"/>
    </row>
    <row r="157">
      <c r="A157" s="18" t="n"/>
      <c r="B157" s="18" t="n"/>
      <c r="C157" s="18" t="n"/>
      <c r="D157" s="18" t="n"/>
      <c r="E157" s="18" t="n"/>
      <c r="F157" s="23" t="n"/>
      <c r="G157" s="23" t="n"/>
      <c r="H157" s="25" t="n"/>
      <c r="I157" s="18" t="n"/>
      <c r="J157" s="23" t="n"/>
      <c r="K157" s="18" t="n"/>
      <c r="L157" s="18" t="n"/>
      <c r="M157" s="24">
        <f>IFERROR(IF(G157="","",G157-TODAY()),"")</f>
        <v/>
      </c>
      <c r="N157" s="24">
        <f>IFERROR(IF(OR(I157="Cleared",I157="Cancelled",G157=""),"",IF(G157&lt;TODAY(),"OVERDUE",IF(G157&lt;=TODAY()+'Setup &amp; Lists'!$M$7,"DUE SOON",""))),"CHECK DATE")</f>
        <v/>
      </c>
      <c r="O157" s="18" t="n"/>
    </row>
    <row r="158">
      <c r="A158" s="18" t="n"/>
      <c r="B158" s="18" t="n"/>
      <c r="C158" s="18" t="n"/>
      <c r="D158" s="18" t="n"/>
      <c r="E158" s="18" t="n"/>
      <c r="F158" s="23" t="n"/>
      <c r="G158" s="23" t="n"/>
      <c r="H158" s="25" t="n"/>
      <c r="I158" s="18" t="n"/>
      <c r="J158" s="23" t="n"/>
      <c r="K158" s="18" t="n"/>
      <c r="L158" s="18" t="n"/>
      <c r="M158" s="24">
        <f>IFERROR(IF(G158="","",G158-TODAY()),"")</f>
        <v/>
      </c>
      <c r="N158" s="24">
        <f>IFERROR(IF(OR(I158="Cleared",I158="Cancelled",G158=""),"",IF(G158&lt;TODAY(),"OVERDUE",IF(G158&lt;=TODAY()+'Setup &amp; Lists'!$M$7,"DUE SOON",""))),"CHECK DATE")</f>
        <v/>
      </c>
      <c r="O158" s="18" t="n"/>
    </row>
    <row r="159">
      <c r="A159" s="18" t="n"/>
      <c r="B159" s="18" t="n"/>
      <c r="C159" s="18" t="n"/>
      <c r="D159" s="18" t="n"/>
      <c r="E159" s="18" t="n"/>
      <c r="F159" s="23" t="n"/>
      <c r="G159" s="23" t="n"/>
      <c r="H159" s="25" t="n"/>
      <c r="I159" s="18" t="n"/>
      <c r="J159" s="23" t="n"/>
      <c r="K159" s="18" t="n"/>
      <c r="L159" s="18" t="n"/>
      <c r="M159" s="24">
        <f>IFERROR(IF(G159="","",G159-TODAY()),"")</f>
        <v/>
      </c>
      <c r="N159" s="24">
        <f>IFERROR(IF(OR(I159="Cleared",I159="Cancelled",G159=""),"",IF(G159&lt;TODAY(),"OVERDUE",IF(G159&lt;=TODAY()+'Setup &amp; Lists'!$M$7,"DUE SOON",""))),"CHECK DATE")</f>
        <v/>
      </c>
      <c r="O159" s="18" t="n"/>
    </row>
    <row r="160">
      <c r="A160" s="18" t="n"/>
      <c r="B160" s="18" t="n"/>
      <c r="C160" s="18" t="n"/>
      <c r="D160" s="18" t="n"/>
      <c r="E160" s="18" t="n"/>
      <c r="F160" s="23" t="n"/>
      <c r="G160" s="23" t="n"/>
      <c r="H160" s="25" t="n"/>
      <c r="I160" s="18" t="n"/>
      <c r="J160" s="23" t="n"/>
      <c r="K160" s="18" t="n"/>
      <c r="L160" s="18" t="n"/>
      <c r="M160" s="24">
        <f>IFERROR(IF(G160="","",G160-TODAY()),"")</f>
        <v/>
      </c>
      <c r="N160" s="24">
        <f>IFERROR(IF(OR(I160="Cleared",I160="Cancelled",G160=""),"",IF(G160&lt;TODAY(),"OVERDUE",IF(G160&lt;=TODAY()+'Setup &amp; Lists'!$M$7,"DUE SOON",""))),"CHECK DATE")</f>
        <v/>
      </c>
      <c r="O160" s="18" t="n"/>
    </row>
    <row r="161">
      <c r="A161" s="18" t="n"/>
      <c r="B161" s="18" t="n"/>
      <c r="C161" s="18" t="n"/>
      <c r="D161" s="18" t="n"/>
      <c r="E161" s="18" t="n"/>
      <c r="F161" s="23" t="n"/>
      <c r="G161" s="23" t="n"/>
      <c r="H161" s="25" t="n"/>
      <c r="I161" s="18" t="n"/>
      <c r="J161" s="23" t="n"/>
      <c r="K161" s="18" t="n"/>
      <c r="L161" s="18" t="n"/>
      <c r="M161" s="24">
        <f>IFERROR(IF(G161="","",G161-TODAY()),"")</f>
        <v/>
      </c>
      <c r="N161" s="24">
        <f>IFERROR(IF(OR(I161="Cleared",I161="Cancelled",G161=""),"",IF(G161&lt;TODAY(),"OVERDUE",IF(G161&lt;=TODAY()+'Setup &amp; Lists'!$M$7,"DUE SOON",""))),"CHECK DATE")</f>
        <v/>
      </c>
      <c r="O161" s="18" t="n"/>
    </row>
    <row r="162">
      <c r="A162" s="18" t="n"/>
      <c r="B162" s="18" t="n"/>
      <c r="C162" s="18" t="n"/>
      <c r="D162" s="18" t="n"/>
      <c r="E162" s="18" t="n"/>
      <c r="F162" s="23" t="n"/>
      <c r="G162" s="23" t="n"/>
      <c r="H162" s="25" t="n"/>
      <c r="I162" s="18" t="n"/>
      <c r="J162" s="23" t="n"/>
      <c r="K162" s="18" t="n"/>
      <c r="L162" s="18" t="n"/>
      <c r="M162" s="24">
        <f>IFERROR(IF(G162="","",G162-TODAY()),"")</f>
        <v/>
      </c>
      <c r="N162" s="24">
        <f>IFERROR(IF(OR(I162="Cleared",I162="Cancelled",G162=""),"",IF(G162&lt;TODAY(),"OVERDUE",IF(G162&lt;=TODAY()+'Setup &amp; Lists'!$M$7,"DUE SOON",""))),"CHECK DATE")</f>
        <v/>
      </c>
      <c r="O162" s="18" t="n"/>
    </row>
    <row r="163">
      <c r="A163" s="18" t="n"/>
      <c r="B163" s="18" t="n"/>
      <c r="C163" s="18" t="n"/>
      <c r="D163" s="18" t="n"/>
      <c r="E163" s="18" t="n"/>
      <c r="F163" s="23" t="n"/>
      <c r="G163" s="23" t="n"/>
      <c r="H163" s="25" t="n"/>
      <c r="I163" s="18" t="n"/>
      <c r="J163" s="23" t="n"/>
      <c r="K163" s="18" t="n"/>
      <c r="L163" s="18" t="n"/>
      <c r="M163" s="24">
        <f>IFERROR(IF(G163="","",G163-TODAY()),"")</f>
        <v/>
      </c>
      <c r="N163" s="24">
        <f>IFERROR(IF(OR(I163="Cleared",I163="Cancelled",G163=""),"",IF(G163&lt;TODAY(),"OVERDUE",IF(G163&lt;=TODAY()+'Setup &amp; Lists'!$M$7,"DUE SOON",""))),"CHECK DATE")</f>
        <v/>
      </c>
      <c r="O163" s="18" t="n"/>
    </row>
    <row r="164">
      <c r="A164" s="18" t="n"/>
      <c r="B164" s="18" t="n"/>
      <c r="C164" s="18" t="n"/>
      <c r="D164" s="18" t="n"/>
      <c r="E164" s="18" t="n"/>
      <c r="F164" s="23" t="n"/>
      <c r="G164" s="23" t="n"/>
      <c r="H164" s="25" t="n"/>
      <c r="I164" s="18" t="n"/>
      <c r="J164" s="23" t="n"/>
      <c r="K164" s="18" t="n"/>
      <c r="L164" s="18" t="n"/>
      <c r="M164" s="24">
        <f>IFERROR(IF(G164="","",G164-TODAY()),"")</f>
        <v/>
      </c>
      <c r="N164" s="24">
        <f>IFERROR(IF(OR(I164="Cleared",I164="Cancelled",G164=""),"",IF(G164&lt;TODAY(),"OVERDUE",IF(G164&lt;=TODAY()+'Setup &amp; Lists'!$M$7,"DUE SOON",""))),"CHECK DATE")</f>
        <v/>
      </c>
      <c r="O164" s="18" t="n"/>
    </row>
    <row r="165">
      <c r="A165" s="18" t="n"/>
      <c r="B165" s="18" t="n"/>
      <c r="C165" s="18" t="n"/>
      <c r="D165" s="18" t="n"/>
      <c r="E165" s="18" t="n"/>
      <c r="F165" s="23" t="n"/>
      <c r="G165" s="23" t="n"/>
      <c r="H165" s="25" t="n"/>
      <c r="I165" s="18" t="n"/>
      <c r="J165" s="23" t="n"/>
      <c r="K165" s="18" t="n"/>
      <c r="L165" s="18" t="n"/>
      <c r="M165" s="24">
        <f>IFERROR(IF(G165="","",G165-TODAY()),"")</f>
        <v/>
      </c>
      <c r="N165" s="24">
        <f>IFERROR(IF(OR(I165="Cleared",I165="Cancelled",G165=""),"",IF(G165&lt;TODAY(),"OVERDUE",IF(G165&lt;=TODAY()+'Setup &amp; Lists'!$M$7,"DUE SOON",""))),"CHECK DATE")</f>
        <v/>
      </c>
      <c r="O165" s="18" t="n"/>
    </row>
    <row r="166">
      <c r="A166" s="18" t="n"/>
      <c r="B166" s="18" t="n"/>
      <c r="C166" s="18" t="n"/>
      <c r="D166" s="18" t="n"/>
      <c r="E166" s="18" t="n"/>
      <c r="F166" s="23" t="n"/>
      <c r="G166" s="23" t="n"/>
      <c r="H166" s="25" t="n"/>
      <c r="I166" s="18" t="n"/>
      <c r="J166" s="23" t="n"/>
      <c r="K166" s="18" t="n"/>
      <c r="L166" s="18" t="n"/>
      <c r="M166" s="24">
        <f>IFERROR(IF(G166="","",G166-TODAY()),"")</f>
        <v/>
      </c>
      <c r="N166" s="24">
        <f>IFERROR(IF(OR(I166="Cleared",I166="Cancelled",G166=""),"",IF(G166&lt;TODAY(),"OVERDUE",IF(G166&lt;=TODAY()+'Setup &amp; Lists'!$M$7,"DUE SOON",""))),"CHECK DATE")</f>
        <v/>
      </c>
      <c r="O166" s="18" t="n"/>
    </row>
    <row r="167">
      <c r="A167" s="18" t="n"/>
      <c r="B167" s="18" t="n"/>
      <c r="C167" s="18" t="n"/>
      <c r="D167" s="18" t="n"/>
      <c r="E167" s="18" t="n"/>
      <c r="F167" s="23" t="n"/>
      <c r="G167" s="23" t="n"/>
      <c r="H167" s="25" t="n"/>
      <c r="I167" s="18" t="n"/>
      <c r="J167" s="23" t="n"/>
      <c r="K167" s="18" t="n"/>
      <c r="L167" s="18" t="n"/>
      <c r="M167" s="24">
        <f>IFERROR(IF(G167="","",G167-TODAY()),"")</f>
        <v/>
      </c>
      <c r="N167" s="24">
        <f>IFERROR(IF(OR(I167="Cleared",I167="Cancelled",G167=""),"",IF(G167&lt;TODAY(),"OVERDUE",IF(G167&lt;=TODAY()+'Setup &amp; Lists'!$M$7,"DUE SOON",""))),"CHECK DATE")</f>
        <v/>
      </c>
      <c r="O167" s="18" t="n"/>
    </row>
    <row r="168">
      <c r="A168" s="18" t="n"/>
      <c r="B168" s="18" t="n"/>
      <c r="C168" s="18" t="n"/>
      <c r="D168" s="18" t="n"/>
      <c r="E168" s="18" t="n"/>
      <c r="F168" s="23" t="n"/>
      <c r="G168" s="23" t="n"/>
      <c r="H168" s="25" t="n"/>
      <c r="I168" s="18" t="n"/>
      <c r="J168" s="23" t="n"/>
      <c r="K168" s="18" t="n"/>
      <c r="L168" s="18" t="n"/>
      <c r="M168" s="24">
        <f>IFERROR(IF(G168="","",G168-TODAY()),"")</f>
        <v/>
      </c>
      <c r="N168" s="24">
        <f>IFERROR(IF(OR(I168="Cleared",I168="Cancelled",G168=""),"",IF(G168&lt;TODAY(),"OVERDUE",IF(G168&lt;=TODAY()+'Setup &amp; Lists'!$M$7,"DUE SOON",""))),"CHECK DATE")</f>
        <v/>
      </c>
      <c r="O168" s="18" t="n"/>
    </row>
    <row r="169">
      <c r="A169" s="18" t="n"/>
      <c r="B169" s="18" t="n"/>
      <c r="C169" s="18" t="n"/>
      <c r="D169" s="18" t="n"/>
      <c r="E169" s="18" t="n"/>
      <c r="F169" s="23" t="n"/>
      <c r="G169" s="23" t="n"/>
      <c r="H169" s="25" t="n"/>
      <c r="I169" s="18" t="n"/>
      <c r="J169" s="23" t="n"/>
      <c r="K169" s="18" t="n"/>
      <c r="L169" s="18" t="n"/>
      <c r="M169" s="24">
        <f>IFERROR(IF(G169="","",G169-TODAY()),"")</f>
        <v/>
      </c>
      <c r="N169" s="24">
        <f>IFERROR(IF(OR(I169="Cleared",I169="Cancelled",G169=""),"",IF(G169&lt;TODAY(),"OVERDUE",IF(G169&lt;=TODAY()+'Setup &amp; Lists'!$M$7,"DUE SOON",""))),"CHECK DATE")</f>
        <v/>
      </c>
      <c r="O169" s="18" t="n"/>
    </row>
    <row r="170">
      <c r="A170" s="18" t="n"/>
      <c r="B170" s="18" t="n"/>
      <c r="C170" s="18" t="n"/>
      <c r="D170" s="18" t="n"/>
      <c r="E170" s="18" t="n"/>
      <c r="F170" s="23" t="n"/>
      <c r="G170" s="23" t="n"/>
      <c r="H170" s="25" t="n"/>
      <c r="I170" s="18" t="n"/>
      <c r="J170" s="23" t="n"/>
      <c r="K170" s="18" t="n"/>
      <c r="L170" s="18" t="n"/>
      <c r="M170" s="24">
        <f>IFERROR(IF(G170="","",G170-TODAY()),"")</f>
        <v/>
      </c>
      <c r="N170" s="24">
        <f>IFERROR(IF(OR(I170="Cleared",I170="Cancelled",G170=""),"",IF(G170&lt;TODAY(),"OVERDUE",IF(G170&lt;=TODAY()+'Setup &amp; Lists'!$M$7,"DUE SOON",""))),"CHECK DATE")</f>
        <v/>
      </c>
      <c r="O170" s="18" t="n"/>
    </row>
    <row r="171">
      <c r="A171" s="18" t="n"/>
      <c r="B171" s="18" t="n"/>
      <c r="C171" s="18" t="n"/>
      <c r="D171" s="18" t="n"/>
      <c r="E171" s="18" t="n"/>
      <c r="F171" s="23" t="n"/>
      <c r="G171" s="23" t="n"/>
      <c r="H171" s="25" t="n"/>
      <c r="I171" s="18" t="n"/>
      <c r="J171" s="23" t="n"/>
      <c r="K171" s="18" t="n"/>
      <c r="L171" s="18" t="n"/>
      <c r="M171" s="24">
        <f>IFERROR(IF(G171="","",G171-TODAY()),"")</f>
        <v/>
      </c>
      <c r="N171" s="24">
        <f>IFERROR(IF(OR(I171="Cleared",I171="Cancelled",G171=""),"",IF(G171&lt;TODAY(),"OVERDUE",IF(G171&lt;=TODAY()+'Setup &amp; Lists'!$M$7,"DUE SOON",""))),"CHECK DATE")</f>
        <v/>
      </c>
      <c r="O171" s="18" t="n"/>
    </row>
    <row r="172">
      <c r="A172" s="18" t="n"/>
      <c r="B172" s="18" t="n"/>
      <c r="C172" s="18" t="n"/>
      <c r="D172" s="18" t="n"/>
      <c r="E172" s="18" t="n"/>
      <c r="F172" s="23" t="n"/>
      <c r="G172" s="23" t="n"/>
      <c r="H172" s="25" t="n"/>
      <c r="I172" s="18" t="n"/>
      <c r="J172" s="23" t="n"/>
      <c r="K172" s="18" t="n"/>
      <c r="L172" s="18" t="n"/>
      <c r="M172" s="24">
        <f>IFERROR(IF(G172="","",G172-TODAY()),"")</f>
        <v/>
      </c>
      <c r="N172" s="24">
        <f>IFERROR(IF(OR(I172="Cleared",I172="Cancelled",G172=""),"",IF(G172&lt;TODAY(),"OVERDUE",IF(G172&lt;=TODAY()+'Setup &amp; Lists'!$M$7,"DUE SOON",""))),"CHECK DATE")</f>
        <v/>
      </c>
      <c r="O172" s="18" t="n"/>
    </row>
    <row r="173">
      <c r="A173" s="18" t="n"/>
      <c r="B173" s="18" t="n"/>
      <c r="C173" s="18" t="n"/>
      <c r="D173" s="18" t="n"/>
      <c r="E173" s="18" t="n"/>
      <c r="F173" s="23" t="n"/>
      <c r="G173" s="23" t="n"/>
      <c r="H173" s="25" t="n"/>
      <c r="I173" s="18" t="n"/>
      <c r="J173" s="23" t="n"/>
      <c r="K173" s="18" t="n"/>
      <c r="L173" s="18" t="n"/>
      <c r="M173" s="24">
        <f>IFERROR(IF(G173="","",G173-TODAY()),"")</f>
        <v/>
      </c>
      <c r="N173" s="24">
        <f>IFERROR(IF(OR(I173="Cleared",I173="Cancelled",G173=""),"",IF(G173&lt;TODAY(),"OVERDUE",IF(G173&lt;=TODAY()+'Setup &amp; Lists'!$M$7,"DUE SOON",""))),"CHECK DATE")</f>
        <v/>
      </c>
      <c r="O173" s="18" t="n"/>
    </row>
    <row r="174">
      <c r="A174" s="18" t="n"/>
      <c r="B174" s="18" t="n"/>
      <c r="C174" s="18" t="n"/>
      <c r="D174" s="18" t="n"/>
      <c r="E174" s="18" t="n"/>
      <c r="F174" s="23" t="n"/>
      <c r="G174" s="23" t="n"/>
      <c r="H174" s="25" t="n"/>
      <c r="I174" s="18" t="n"/>
      <c r="J174" s="23" t="n"/>
      <c r="K174" s="18" t="n"/>
      <c r="L174" s="18" t="n"/>
      <c r="M174" s="24">
        <f>IFERROR(IF(G174="","",G174-TODAY()),"")</f>
        <v/>
      </c>
      <c r="N174" s="24">
        <f>IFERROR(IF(OR(I174="Cleared",I174="Cancelled",G174=""),"",IF(G174&lt;TODAY(),"OVERDUE",IF(G174&lt;=TODAY()+'Setup &amp; Lists'!$M$7,"DUE SOON",""))),"CHECK DATE")</f>
        <v/>
      </c>
      <c r="O174" s="18" t="n"/>
    </row>
    <row r="175">
      <c r="A175" s="18" t="n"/>
      <c r="B175" s="18" t="n"/>
      <c r="C175" s="18" t="n"/>
      <c r="D175" s="18" t="n"/>
      <c r="E175" s="18" t="n"/>
      <c r="F175" s="23" t="n"/>
      <c r="G175" s="23" t="n"/>
      <c r="H175" s="25" t="n"/>
      <c r="I175" s="18" t="n"/>
      <c r="J175" s="23" t="n"/>
      <c r="K175" s="18" t="n"/>
      <c r="L175" s="18" t="n"/>
      <c r="M175" s="24">
        <f>IFERROR(IF(G175="","",G175-TODAY()),"")</f>
        <v/>
      </c>
      <c r="N175" s="24">
        <f>IFERROR(IF(OR(I175="Cleared",I175="Cancelled",G175=""),"",IF(G175&lt;TODAY(),"OVERDUE",IF(G175&lt;=TODAY()+'Setup &amp; Lists'!$M$7,"DUE SOON",""))),"CHECK DATE")</f>
        <v/>
      </c>
      <c r="O175" s="18" t="n"/>
    </row>
    <row r="176">
      <c r="A176" s="18" t="n"/>
      <c r="B176" s="18" t="n"/>
      <c r="C176" s="18" t="n"/>
      <c r="D176" s="18" t="n"/>
      <c r="E176" s="18" t="n"/>
      <c r="F176" s="23" t="n"/>
      <c r="G176" s="23" t="n"/>
      <c r="H176" s="25" t="n"/>
      <c r="I176" s="18" t="n"/>
      <c r="J176" s="23" t="n"/>
      <c r="K176" s="18" t="n"/>
      <c r="L176" s="18" t="n"/>
      <c r="M176" s="24">
        <f>IFERROR(IF(G176="","",G176-TODAY()),"")</f>
        <v/>
      </c>
      <c r="N176" s="24">
        <f>IFERROR(IF(OR(I176="Cleared",I176="Cancelled",G176=""),"",IF(G176&lt;TODAY(),"OVERDUE",IF(G176&lt;=TODAY()+'Setup &amp; Lists'!$M$7,"DUE SOON",""))),"CHECK DATE")</f>
        <v/>
      </c>
      <c r="O176" s="18" t="n"/>
    </row>
    <row r="177">
      <c r="A177" s="18" t="n"/>
      <c r="B177" s="18" t="n"/>
      <c r="C177" s="18" t="n"/>
      <c r="D177" s="18" t="n"/>
      <c r="E177" s="18" t="n"/>
      <c r="F177" s="23" t="n"/>
      <c r="G177" s="23" t="n"/>
      <c r="H177" s="25" t="n"/>
      <c r="I177" s="18" t="n"/>
      <c r="J177" s="23" t="n"/>
      <c r="K177" s="18" t="n"/>
      <c r="L177" s="18" t="n"/>
      <c r="M177" s="24">
        <f>IFERROR(IF(G177="","",G177-TODAY()),"")</f>
        <v/>
      </c>
      <c r="N177" s="24">
        <f>IFERROR(IF(OR(I177="Cleared",I177="Cancelled",G177=""),"",IF(G177&lt;TODAY(),"OVERDUE",IF(G177&lt;=TODAY()+'Setup &amp; Lists'!$M$7,"DUE SOON",""))),"CHECK DATE")</f>
        <v/>
      </c>
      <c r="O177" s="18" t="n"/>
    </row>
    <row r="178">
      <c r="A178" s="18" t="n"/>
      <c r="B178" s="18" t="n"/>
      <c r="C178" s="18" t="n"/>
      <c r="D178" s="18" t="n"/>
      <c r="E178" s="18" t="n"/>
      <c r="F178" s="23" t="n"/>
      <c r="G178" s="23" t="n"/>
      <c r="H178" s="25" t="n"/>
      <c r="I178" s="18" t="n"/>
      <c r="J178" s="23" t="n"/>
      <c r="K178" s="18" t="n"/>
      <c r="L178" s="18" t="n"/>
      <c r="M178" s="24">
        <f>IFERROR(IF(G178="","",G178-TODAY()),"")</f>
        <v/>
      </c>
      <c r="N178" s="24">
        <f>IFERROR(IF(OR(I178="Cleared",I178="Cancelled",G178=""),"",IF(G178&lt;TODAY(),"OVERDUE",IF(G178&lt;=TODAY()+'Setup &amp; Lists'!$M$7,"DUE SOON",""))),"CHECK DATE")</f>
        <v/>
      </c>
      <c r="O178" s="18" t="n"/>
    </row>
    <row r="179">
      <c r="A179" s="18" t="n"/>
      <c r="B179" s="18" t="n"/>
      <c r="C179" s="18" t="n"/>
      <c r="D179" s="18" t="n"/>
      <c r="E179" s="18" t="n"/>
      <c r="F179" s="23" t="n"/>
      <c r="G179" s="23" t="n"/>
      <c r="H179" s="25" t="n"/>
      <c r="I179" s="18" t="n"/>
      <c r="J179" s="23" t="n"/>
      <c r="K179" s="18" t="n"/>
      <c r="L179" s="18" t="n"/>
      <c r="M179" s="24">
        <f>IFERROR(IF(G179="","",G179-TODAY()),"")</f>
        <v/>
      </c>
      <c r="N179" s="24">
        <f>IFERROR(IF(OR(I179="Cleared",I179="Cancelled",G179=""),"",IF(G179&lt;TODAY(),"OVERDUE",IF(G179&lt;=TODAY()+'Setup &amp; Lists'!$M$7,"DUE SOON",""))),"CHECK DATE")</f>
        <v/>
      </c>
      <c r="O179" s="18" t="n"/>
    </row>
    <row r="180">
      <c r="A180" s="18" t="n"/>
      <c r="B180" s="18" t="n"/>
      <c r="C180" s="18" t="n"/>
      <c r="D180" s="18" t="n"/>
      <c r="E180" s="18" t="n"/>
      <c r="F180" s="23" t="n"/>
      <c r="G180" s="23" t="n"/>
      <c r="H180" s="25" t="n"/>
      <c r="I180" s="18" t="n"/>
      <c r="J180" s="23" t="n"/>
      <c r="K180" s="18" t="n"/>
      <c r="L180" s="18" t="n"/>
      <c r="M180" s="24">
        <f>IFERROR(IF(G180="","",G180-TODAY()),"")</f>
        <v/>
      </c>
      <c r="N180" s="24">
        <f>IFERROR(IF(OR(I180="Cleared",I180="Cancelled",G180=""),"",IF(G180&lt;TODAY(),"OVERDUE",IF(G180&lt;=TODAY()+'Setup &amp; Lists'!$M$7,"DUE SOON",""))),"CHECK DATE")</f>
        <v/>
      </c>
      <c r="O180" s="18" t="n"/>
    </row>
    <row r="181">
      <c r="A181" s="18" t="n"/>
      <c r="B181" s="18" t="n"/>
      <c r="C181" s="18" t="n"/>
      <c r="D181" s="18" t="n"/>
      <c r="E181" s="18" t="n"/>
      <c r="F181" s="23" t="n"/>
      <c r="G181" s="23" t="n"/>
      <c r="H181" s="25" t="n"/>
      <c r="I181" s="18" t="n"/>
      <c r="J181" s="23" t="n"/>
      <c r="K181" s="18" t="n"/>
      <c r="L181" s="18" t="n"/>
      <c r="M181" s="24">
        <f>IFERROR(IF(G181="","",G181-TODAY()),"")</f>
        <v/>
      </c>
      <c r="N181" s="24">
        <f>IFERROR(IF(OR(I181="Cleared",I181="Cancelled",G181=""),"",IF(G181&lt;TODAY(),"OVERDUE",IF(G181&lt;=TODAY()+'Setup &amp; Lists'!$M$7,"DUE SOON",""))),"CHECK DATE")</f>
        <v/>
      </c>
      <c r="O181" s="18" t="n"/>
    </row>
    <row r="182">
      <c r="A182" s="18" t="n"/>
      <c r="B182" s="18" t="n"/>
      <c r="C182" s="18" t="n"/>
      <c r="D182" s="18" t="n"/>
      <c r="E182" s="18" t="n"/>
      <c r="F182" s="23" t="n"/>
      <c r="G182" s="23" t="n"/>
      <c r="H182" s="25" t="n"/>
      <c r="I182" s="18" t="n"/>
      <c r="J182" s="23" t="n"/>
      <c r="K182" s="18" t="n"/>
      <c r="L182" s="18" t="n"/>
      <c r="M182" s="24">
        <f>IFERROR(IF(G182="","",G182-TODAY()),"")</f>
        <v/>
      </c>
      <c r="N182" s="24">
        <f>IFERROR(IF(OR(I182="Cleared",I182="Cancelled",G182=""),"",IF(G182&lt;TODAY(),"OVERDUE",IF(G182&lt;=TODAY()+'Setup &amp; Lists'!$M$7,"DUE SOON",""))),"CHECK DATE")</f>
        <v/>
      </c>
      <c r="O182" s="18" t="n"/>
    </row>
    <row r="183">
      <c r="A183" s="18" t="n"/>
      <c r="B183" s="18" t="n"/>
      <c r="C183" s="18" t="n"/>
      <c r="D183" s="18" t="n"/>
      <c r="E183" s="18" t="n"/>
      <c r="F183" s="23" t="n"/>
      <c r="G183" s="23" t="n"/>
      <c r="H183" s="25" t="n"/>
      <c r="I183" s="18" t="n"/>
      <c r="J183" s="23" t="n"/>
      <c r="K183" s="18" t="n"/>
      <c r="L183" s="18" t="n"/>
      <c r="M183" s="24">
        <f>IFERROR(IF(G183="","",G183-TODAY()),"")</f>
        <v/>
      </c>
      <c r="N183" s="24">
        <f>IFERROR(IF(OR(I183="Cleared",I183="Cancelled",G183=""),"",IF(G183&lt;TODAY(),"OVERDUE",IF(G183&lt;=TODAY()+'Setup &amp; Lists'!$M$7,"DUE SOON",""))),"CHECK DATE")</f>
        <v/>
      </c>
      <c r="O183" s="18" t="n"/>
    </row>
    <row r="184">
      <c r="A184" s="18" t="n"/>
      <c r="B184" s="18" t="n"/>
      <c r="C184" s="18" t="n"/>
      <c r="D184" s="18" t="n"/>
      <c r="E184" s="18" t="n"/>
      <c r="F184" s="23" t="n"/>
      <c r="G184" s="23" t="n"/>
      <c r="H184" s="25" t="n"/>
      <c r="I184" s="18" t="n"/>
      <c r="J184" s="23" t="n"/>
      <c r="K184" s="18" t="n"/>
      <c r="L184" s="18" t="n"/>
      <c r="M184" s="24">
        <f>IFERROR(IF(G184="","",G184-TODAY()),"")</f>
        <v/>
      </c>
      <c r="N184" s="24">
        <f>IFERROR(IF(OR(I184="Cleared",I184="Cancelled",G184=""),"",IF(G184&lt;TODAY(),"OVERDUE",IF(G184&lt;=TODAY()+'Setup &amp; Lists'!$M$7,"DUE SOON",""))),"CHECK DATE")</f>
        <v/>
      </c>
      <c r="O184" s="18" t="n"/>
    </row>
    <row r="185">
      <c r="A185" s="18" t="n"/>
      <c r="B185" s="18" t="n"/>
      <c r="C185" s="18" t="n"/>
      <c r="D185" s="18" t="n"/>
      <c r="E185" s="18" t="n"/>
      <c r="F185" s="23" t="n"/>
      <c r="G185" s="23" t="n"/>
      <c r="H185" s="25" t="n"/>
      <c r="I185" s="18" t="n"/>
      <c r="J185" s="23" t="n"/>
      <c r="K185" s="18" t="n"/>
      <c r="L185" s="18" t="n"/>
      <c r="M185" s="24">
        <f>IFERROR(IF(G185="","",G185-TODAY()),"")</f>
        <v/>
      </c>
      <c r="N185" s="24">
        <f>IFERROR(IF(OR(I185="Cleared",I185="Cancelled",G185=""),"",IF(G185&lt;TODAY(),"OVERDUE",IF(G185&lt;=TODAY()+'Setup &amp; Lists'!$M$7,"DUE SOON",""))),"CHECK DATE")</f>
        <v/>
      </c>
      <c r="O185" s="18" t="n"/>
    </row>
    <row r="186">
      <c r="A186" s="18" t="n"/>
      <c r="B186" s="18" t="n"/>
      <c r="C186" s="18" t="n"/>
      <c r="D186" s="18" t="n"/>
      <c r="E186" s="18" t="n"/>
      <c r="F186" s="23" t="n"/>
      <c r="G186" s="23" t="n"/>
      <c r="H186" s="25" t="n"/>
      <c r="I186" s="18" t="n"/>
      <c r="J186" s="23" t="n"/>
      <c r="K186" s="18" t="n"/>
      <c r="L186" s="18" t="n"/>
      <c r="M186" s="24">
        <f>IFERROR(IF(G186="","",G186-TODAY()),"")</f>
        <v/>
      </c>
      <c r="N186" s="24">
        <f>IFERROR(IF(OR(I186="Cleared",I186="Cancelled",G186=""),"",IF(G186&lt;TODAY(),"OVERDUE",IF(G186&lt;=TODAY()+'Setup &amp; Lists'!$M$7,"DUE SOON",""))),"CHECK DATE")</f>
        <v/>
      </c>
      <c r="O186" s="18" t="n"/>
    </row>
    <row r="187">
      <c r="A187" s="18" t="n"/>
      <c r="B187" s="18" t="n"/>
      <c r="C187" s="18" t="n"/>
      <c r="D187" s="18" t="n"/>
      <c r="E187" s="18" t="n"/>
      <c r="F187" s="23" t="n"/>
      <c r="G187" s="23" t="n"/>
      <c r="H187" s="25" t="n"/>
      <c r="I187" s="18" t="n"/>
      <c r="J187" s="23" t="n"/>
      <c r="K187" s="18" t="n"/>
      <c r="L187" s="18" t="n"/>
      <c r="M187" s="24">
        <f>IFERROR(IF(G187="","",G187-TODAY()),"")</f>
        <v/>
      </c>
      <c r="N187" s="24">
        <f>IFERROR(IF(OR(I187="Cleared",I187="Cancelled",G187=""),"",IF(G187&lt;TODAY(),"OVERDUE",IF(G187&lt;=TODAY()+'Setup &amp; Lists'!$M$7,"DUE SOON",""))),"CHECK DATE")</f>
        <v/>
      </c>
      <c r="O187" s="18" t="n"/>
    </row>
    <row r="188">
      <c r="A188" s="18" t="n"/>
      <c r="B188" s="18" t="n"/>
      <c r="C188" s="18" t="n"/>
      <c r="D188" s="18" t="n"/>
      <c r="E188" s="18" t="n"/>
      <c r="F188" s="23" t="n"/>
      <c r="G188" s="23" t="n"/>
      <c r="H188" s="25" t="n"/>
      <c r="I188" s="18" t="n"/>
      <c r="J188" s="23" t="n"/>
      <c r="K188" s="18" t="n"/>
      <c r="L188" s="18" t="n"/>
      <c r="M188" s="24">
        <f>IFERROR(IF(G188="","",G188-TODAY()),"")</f>
        <v/>
      </c>
      <c r="N188" s="24">
        <f>IFERROR(IF(OR(I188="Cleared",I188="Cancelled",G188=""),"",IF(G188&lt;TODAY(),"OVERDUE",IF(G188&lt;=TODAY()+'Setup &amp; Lists'!$M$7,"DUE SOON",""))),"CHECK DATE")</f>
        <v/>
      </c>
      <c r="O188" s="18" t="n"/>
    </row>
    <row r="189">
      <c r="A189" s="18" t="n"/>
      <c r="B189" s="18" t="n"/>
      <c r="C189" s="18" t="n"/>
      <c r="D189" s="18" t="n"/>
      <c r="E189" s="18" t="n"/>
      <c r="F189" s="23" t="n"/>
      <c r="G189" s="23" t="n"/>
      <c r="H189" s="25" t="n"/>
      <c r="I189" s="18" t="n"/>
      <c r="J189" s="23" t="n"/>
      <c r="K189" s="18" t="n"/>
      <c r="L189" s="18" t="n"/>
      <c r="M189" s="24">
        <f>IFERROR(IF(G189="","",G189-TODAY()),"")</f>
        <v/>
      </c>
      <c r="N189" s="24">
        <f>IFERROR(IF(OR(I189="Cleared",I189="Cancelled",G189=""),"",IF(G189&lt;TODAY(),"OVERDUE",IF(G189&lt;=TODAY()+'Setup &amp; Lists'!$M$7,"DUE SOON",""))),"CHECK DATE")</f>
        <v/>
      </c>
      <c r="O189" s="18" t="n"/>
    </row>
    <row r="190">
      <c r="A190" s="18" t="n"/>
      <c r="B190" s="18" t="n"/>
      <c r="C190" s="18" t="n"/>
      <c r="D190" s="18" t="n"/>
      <c r="E190" s="18" t="n"/>
      <c r="F190" s="23" t="n"/>
      <c r="G190" s="23" t="n"/>
      <c r="H190" s="25" t="n"/>
      <c r="I190" s="18" t="n"/>
      <c r="J190" s="23" t="n"/>
      <c r="K190" s="18" t="n"/>
      <c r="L190" s="18" t="n"/>
      <c r="M190" s="24">
        <f>IFERROR(IF(G190="","",G190-TODAY()),"")</f>
        <v/>
      </c>
      <c r="N190" s="24">
        <f>IFERROR(IF(OR(I190="Cleared",I190="Cancelled",G190=""),"",IF(G190&lt;TODAY(),"OVERDUE",IF(G190&lt;=TODAY()+'Setup &amp; Lists'!$M$7,"DUE SOON",""))),"CHECK DATE")</f>
        <v/>
      </c>
      <c r="O190" s="18" t="n"/>
    </row>
    <row r="191">
      <c r="A191" s="18" t="n"/>
      <c r="B191" s="18" t="n"/>
      <c r="C191" s="18" t="n"/>
      <c r="D191" s="18" t="n"/>
      <c r="E191" s="18" t="n"/>
      <c r="F191" s="23" t="n"/>
      <c r="G191" s="23" t="n"/>
      <c r="H191" s="25" t="n"/>
      <c r="I191" s="18" t="n"/>
      <c r="J191" s="23" t="n"/>
      <c r="K191" s="18" t="n"/>
      <c r="L191" s="18" t="n"/>
      <c r="M191" s="24">
        <f>IFERROR(IF(G191="","",G191-TODAY()),"")</f>
        <v/>
      </c>
      <c r="N191" s="24">
        <f>IFERROR(IF(OR(I191="Cleared",I191="Cancelled",G191=""),"",IF(G191&lt;TODAY(),"OVERDUE",IF(G191&lt;=TODAY()+'Setup &amp; Lists'!$M$7,"DUE SOON",""))),"CHECK DATE")</f>
        <v/>
      </c>
      <c r="O191" s="18" t="n"/>
    </row>
    <row r="192">
      <c r="A192" s="18" t="n"/>
      <c r="B192" s="18" t="n"/>
      <c r="C192" s="18" t="n"/>
      <c r="D192" s="18" t="n"/>
      <c r="E192" s="18" t="n"/>
      <c r="F192" s="23" t="n"/>
      <c r="G192" s="23" t="n"/>
      <c r="H192" s="25" t="n"/>
      <c r="I192" s="18" t="n"/>
      <c r="J192" s="23" t="n"/>
      <c r="K192" s="18" t="n"/>
      <c r="L192" s="18" t="n"/>
      <c r="M192" s="24">
        <f>IFERROR(IF(G192="","",G192-TODAY()),"")</f>
        <v/>
      </c>
      <c r="N192" s="24">
        <f>IFERROR(IF(OR(I192="Cleared",I192="Cancelled",G192=""),"",IF(G192&lt;TODAY(),"OVERDUE",IF(G192&lt;=TODAY()+'Setup &amp; Lists'!$M$7,"DUE SOON",""))),"CHECK DATE")</f>
        <v/>
      </c>
      <c r="O192" s="18" t="n"/>
    </row>
    <row r="193">
      <c r="A193" s="18" t="n"/>
      <c r="B193" s="18" t="n"/>
      <c r="C193" s="18" t="n"/>
      <c r="D193" s="18" t="n"/>
      <c r="E193" s="18" t="n"/>
      <c r="F193" s="23" t="n"/>
      <c r="G193" s="23" t="n"/>
      <c r="H193" s="25" t="n"/>
      <c r="I193" s="18" t="n"/>
      <c r="J193" s="23" t="n"/>
      <c r="K193" s="18" t="n"/>
      <c r="L193" s="18" t="n"/>
      <c r="M193" s="24">
        <f>IFERROR(IF(G193="","",G193-TODAY()),"")</f>
        <v/>
      </c>
      <c r="N193" s="24">
        <f>IFERROR(IF(OR(I193="Cleared",I193="Cancelled",G193=""),"",IF(G193&lt;TODAY(),"OVERDUE",IF(G193&lt;=TODAY()+'Setup &amp; Lists'!$M$7,"DUE SOON",""))),"CHECK DATE")</f>
        <v/>
      </c>
      <c r="O193" s="18" t="n"/>
    </row>
    <row r="194">
      <c r="A194" s="18" t="n"/>
      <c r="B194" s="18" t="n"/>
      <c r="C194" s="18" t="n"/>
      <c r="D194" s="18" t="n"/>
      <c r="E194" s="18" t="n"/>
      <c r="F194" s="23" t="n"/>
      <c r="G194" s="23" t="n"/>
      <c r="H194" s="25" t="n"/>
      <c r="I194" s="18" t="n"/>
      <c r="J194" s="23" t="n"/>
      <c r="K194" s="18" t="n"/>
      <c r="L194" s="18" t="n"/>
      <c r="M194" s="24">
        <f>IFERROR(IF(G194="","",G194-TODAY()),"")</f>
        <v/>
      </c>
      <c r="N194" s="24">
        <f>IFERROR(IF(OR(I194="Cleared",I194="Cancelled",G194=""),"",IF(G194&lt;TODAY(),"OVERDUE",IF(G194&lt;=TODAY()+'Setup &amp; Lists'!$M$7,"DUE SOON",""))),"CHECK DATE")</f>
        <v/>
      </c>
      <c r="O194" s="18" t="n"/>
    </row>
    <row r="195">
      <c r="A195" s="18" t="n"/>
      <c r="B195" s="18" t="n"/>
      <c r="C195" s="18" t="n"/>
      <c r="D195" s="18" t="n"/>
      <c r="E195" s="18" t="n"/>
      <c r="F195" s="23" t="n"/>
      <c r="G195" s="23" t="n"/>
      <c r="H195" s="25" t="n"/>
      <c r="I195" s="18" t="n"/>
      <c r="J195" s="23" t="n"/>
      <c r="K195" s="18" t="n"/>
      <c r="L195" s="18" t="n"/>
      <c r="M195" s="24">
        <f>IFERROR(IF(G195="","",G195-TODAY()),"")</f>
        <v/>
      </c>
      <c r="N195" s="24">
        <f>IFERROR(IF(OR(I195="Cleared",I195="Cancelled",G195=""),"",IF(G195&lt;TODAY(),"OVERDUE",IF(G195&lt;=TODAY()+'Setup &amp; Lists'!$M$7,"DUE SOON",""))),"CHECK DATE")</f>
        <v/>
      </c>
      <c r="O195" s="18" t="n"/>
    </row>
    <row r="196">
      <c r="A196" s="18" t="n"/>
      <c r="B196" s="18" t="n"/>
      <c r="C196" s="18" t="n"/>
      <c r="D196" s="18" t="n"/>
      <c r="E196" s="18" t="n"/>
      <c r="F196" s="23" t="n"/>
      <c r="G196" s="23" t="n"/>
      <c r="H196" s="25" t="n"/>
      <c r="I196" s="18" t="n"/>
      <c r="J196" s="23" t="n"/>
      <c r="K196" s="18" t="n"/>
      <c r="L196" s="18" t="n"/>
      <c r="M196" s="24">
        <f>IFERROR(IF(G196="","",G196-TODAY()),"")</f>
        <v/>
      </c>
      <c r="N196" s="24">
        <f>IFERROR(IF(OR(I196="Cleared",I196="Cancelled",G196=""),"",IF(G196&lt;TODAY(),"OVERDUE",IF(G196&lt;=TODAY()+'Setup &amp; Lists'!$M$7,"DUE SOON",""))),"CHECK DATE")</f>
        <v/>
      </c>
      <c r="O196" s="18" t="n"/>
    </row>
    <row r="197">
      <c r="A197" s="18" t="n"/>
      <c r="B197" s="18" t="n"/>
      <c r="C197" s="18" t="n"/>
      <c r="D197" s="18" t="n"/>
      <c r="E197" s="18" t="n"/>
      <c r="F197" s="23" t="n"/>
      <c r="G197" s="23" t="n"/>
      <c r="H197" s="25" t="n"/>
      <c r="I197" s="18" t="n"/>
      <c r="J197" s="23" t="n"/>
      <c r="K197" s="18" t="n"/>
      <c r="L197" s="18" t="n"/>
      <c r="M197" s="24">
        <f>IFERROR(IF(G197="","",G197-TODAY()),"")</f>
        <v/>
      </c>
      <c r="N197" s="24">
        <f>IFERROR(IF(OR(I197="Cleared",I197="Cancelled",G197=""),"",IF(G197&lt;TODAY(),"OVERDUE",IF(G197&lt;=TODAY()+'Setup &amp; Lists'!$M$7,"DUE SOON",""))),"CHECK DATE")</f>
        <v/>
      </c>
      <c r="O197" s="18" t="n"/>
    </row>
    <row r="198">
      <c r="A198" s="18" t="n"/>
      <c r="B198" s="18" t="n"/>
      <c r="C198" s="18" t="n"/>
      <c r="D198" s="18" t="n"/>
      <c r="E198" s="18" t="n"/>
      <c r="F198" s="23" t="n"/>
      <c r="G198" s="23" t="n"/>
      <c r="H198" s="25" t="n"/>
      <c r="I198" s="18" t="n"/>
      <c r="J198" s="23" t="n"/>
      <c r="K198" s="18" t="n"/>
      <c r="L198" s="18" t="n"/>
      <c r="M198" s="24">
        <f>IFERROR(IF(G198="","",G198-TODAY()),"")</f>
        <v/>
      </c>
      <c r="N198" s="24">
        <f>IFERROR(IF(OR(I198="Cleared",I198="Cancelled",G198=""),"",IF(G198&lt;TODAY(),"OVERDUE",IF(G198&lt;=TODAY()+'Setup &amp; Lists'!$M$7,"DUE SOON",""))),"CHECK DATE")</f>
        <v/>
      </c>
      <c r="O198" s="18" t="n"/>
    </row>
    <row r="199">
      <c r="A199" s="18" t="n"/>
      <c r="B199" s="18" t="n"/>
      <c r="C199" s="18" t="n"/>
      <c r="D199" s="18" t="n"/>
      <c r="E199" s="18" t="n"/>
      <c r="F199" s="23" t="n"/>
      <c r="G199" s="23" t="n"/>
      <c r="H199" s="25" t="n"/>
      <c r="I199" s="18" t="n"/>
      <c r="J199" s="23" t="n"/>
      <c r="K199" s="18" t="n"/>
      <c r="L199" s="18" t="n"/>
      <c r="M199" s="24">
        <f>IFERROR(IF(G199="","",G199-TODAY()),"")</f>
        <v/>
      </c>
      <c r="N199" s="24">
        <f>IFERROR(IF(OR(I199="Cleared",I199="Cancelled",G199=""),"",IF(G199&lt;TODAY(),"OVERDUE",IF(G199&lt;=TODAY()+'Setup &amp; Lists'!$M$7,"DUE SOON",""))),"CHECK DATE")</f>
        <v/>
      </c>
      <c r="O199" s="18" t="n"/>
    </row>
    <row r="200">
      <c r="A200" s="18" t="n"/>
      <c r="B200" s="18" t="n"/>
      <c r="C200" s="18" t="n"/>
      <c r="D200" s="18" t="n"/>
      <c r="E200" s="18" t="n"/>
      <c r="F200" s="23" t="n"/>
      <c r="G200" s="23" t="n"/>
      <c r="H200" s="25" t="n"/>
      <c r="I200" s="18" t="n"/>
      <c r="J200" s="23" t="n"/>
      <c r="K200" s="18" t="n"/>
      <c r="L200" s="18" t="n"/>
      <c r="M200" s="24">
        <f>IFERROR(IF(G200="","",G200-TODAY()),"")</f>
        <v/>
      </c>
      <c r="N200" s="24">
        <f>IFERROR(IF(OR(I200="Cleared",I200="Cancelled",G200=""),"",IF(G200&lt;TODAY(),"OVERDUE",IF(G200&lt;=TODAY()+'Setup &amp; Lists'!$M$7,"DUE SOON",""))),"CHECK DATE")</f>
        <v/>
      </c>
      <c r="O200" s="18" t="n"/>
    </row>
    <row r="201">
      <c r="A201" s="18" t="n"/>
      <c r="B201" s="18" t="n"/>
      <c r="C201" s="18" t="n"/>
      <c r="D201" s="18" t="n"/>
      <c r="E201" s="18" t="n"/>
      <c r="F201" s="23" t="n"/>
      <c r="G201" s="23" t="n"/>
      <c r="H201" s="25" t="n"/>
      <c r="I201" s="18" t="n"/>
      <c r="J201" s="23" t="n"/>
      <c r="K201" s="18" t="n"/>
      <c r="L201" s="18" t="n"/>
      <c r="M201" s="24">
        <f>IFERROR(IF(G201="","",G201-TODAY()),"")</f>
        <v/>
      </c>
      <c r="N201" s="24">
        <f>IFERROR(IF(OR(I201="Cleared",I201="Cancelled",G201=""),"",IF(G201&lt;TODAY(),"OVERDUE",IF(G201&lt;=TODAY()+'Setup &amp; Lists'!$M$7,"DUE SOON",""))),"CHECK DATE")</f>
        <v/>
      </c>
      <c r="O201" s="18" t="n"/>
    </row>
    <row r="202">
      <c r="A202" s="18" t="n"/>
      <c r="B202" s="18" t="n"/>
      <c r="C202" s="18" t="n"/>
      <c r="D202" s="18" t="n"/>
      <c r="E202" s="18" t="n"/>
      <c r="F202" s="23" t="n"/>
      <c r="G202" s="23" t="n"/>
      <c r="H202" s="25" t="n"/>
      <c r="I202" s="18" t="n"/>
      <c r="J202" s="23" t="n"/>
      <c r="K202" s="18" t="n"/>
      <c r="L202" s="18" t="n"/>
      <c r="M202" s="24">
        <f>IFERROR(IF(G202="","",G202-TODAY()),"")</f>
        <v/>
      </c>
      <c r="N202" s="24">
        <f>IFERROR(IF(OR(I202="Cleared",I202="Cancelled",G202=""),"",IF(G202&lt;TODAY(),"OVERDUE",IF(G202&lt;=TODAY()+'Setup &amp; Lists'!$M$7,"DUE SOON",""))),"CHECK DATE")</f>
        <v/>
      </c>
      <c r="O202" s="18" t="n"/>
    </row>
    <row r="203">
      <c r="A203" s="18" t="n"/>
      <c r="B203" s="18" t="n"/>
      <c r="C203" s="18" t="n"/>
      <c r="D203" s="18" t="n"/>
      <c r="E203" s="18" t="n"/>
      <c r="F203" s="23" t="n"/>
      <c r="G203" s="23" t="n"/>
      <c r="H203" s="25" t="n"/>
      <c r="I203" s="18" t="n"/>
      <c r="J203" s="23" t="n"/>
      <c r="K203" s="18" t="n"/>
      <c r="L203" s="18" t="n"/>
      <c r="M203" s="24">
        <f>IFERROR(IF(G203="","",G203-TODAY()),"")</f>
        <v/>
      </c>
      <c r="N203" s="24">
        <f>IFERROR(IF(OR(I203="Cleared",I203="Cancelled",G203=""),"",IF(G203&lt;TODAY(),"OVERDUE",IF(G203&lt;=TODAY()+'Setup &amp; Lists'!$M$7,"DUE SOON",""))),"CHECK DATE")</f>
        <v/>
      </c>
      <c r="O203" s="18" t="n"/>
    </row>
    <row r="204">
      <c r="A204" s="18" t="n"/>
      <c r="B204" s="18" t="n"/>
      <c r="C204" s="18" t="n"/>
      <c r="D204" s="18" t="n"/>
      <c r="E204" s="18" t="n"/>
      <c r="F204" s="23" t="n"/>
      <c r="G204" s="23" t="n"/>
      <c r="H204" s="25" t="n"/>
      <c r="I204" s="18" t="n"/>
      <c r="J204" s="23" t="n"/>
      <c r="K204" s="18" t="n"/>
      <c r="L204" s="18" t="n"/>
      <c r="M204" s="24">
        <f>IFERROR(IF(G204="","",G204-TODAY()),"")</f>
        <v/>
      </c>
      <c r="N204" s="24">
        <f>IFERROR(IF(OR(I204="Cleared",I204="Cancelled",G204=""),"",IF(G204&lt;TODAY(),"OVERDUE",IF(G204&lt;=TODAY()+'Setup &amp; Lists'!$M$7,"DUE SOON",""))),"CHECK DATE")</f>
        <v/>
      </c>
      <c r="O204" s="18" t="n"/>
    </row>
    <row r="205">
      <c r="A205" s="18" t="n"/>
      <c r="B205" s="18" t="n"/>
      <c r="C205" s="18" t="n"/>
      <c r="D205" s="18" t="n"/>
      <c r="E205" s="18" t="n"/>
      <c r="F205" s="23" t="n"/>
      <c r="G205" s="23" t="n"/>
      <c r="H205" s="25" t="n"/>
      <c r="I205" s="18" t="n"/>
      <c r="J205" s="23" t="n"/>
      <c r="K205" s="18" t="n"/>
      <c r="L205" s="18" t="n"/>
      <c r="M205" s="24">
        <f>IFERROR(IF(G205="","",G205-TODAY()),"")</f>
        <v/>
      </c>
      <c r="N205" s="24">
        <f>IFERROR(IF(OR(I205="Cleared",I205="Cancelled",G205=""),"",IF(G205&lt;TODAY(),"OVERDUE",IF(G205&lt;=TODAY()+'Setup &amp; Lists'!$M$7,"DUE SOON",""))),"CHECK DATE")</f>
        <v/>
      </c>
      <c r="O205" s="18" t="n"/>
    </row>
    <row r="206">
      <c r="A206" s="18" t="n"/>
      <c r="B206" s="18" t="n"/>
      <c r="C206" s="18" t="n"/>
      <c r="D206" s="18" t="n"/>
      <c r="E206" s="18" t="n"/>
      <c r="F206" s="23" t="n"/>
      <c r="G206" s="23" t="n"/>
      <c r="H206" s="25" t="n"/>
      <c r="I206" s="18" t="n"/>
      <c r="J206" s="23" t="n"/>
      <c r="K206" s="18" t="n"/>
      <c r="L206" s="18" t="n"/>
      <c r="M206" s="24">
        <f>IFERROR(IF(G206="","",G206-TODAY()),"")</f>
        <v/>
      </c>
      <c r="N206" s="24">
        <f>IFERROR(IF(OR(I206="Cleared",I206="Cancelled",G206=""),"",IF(G206&lt;TODAY(),"OVERDUE",IF(G206&lt;=TODAY()+'Setup &amp; Lists'!$M$7,"DUE SOON",""))),"CHECK DATE")</f>
        <v/>
      </c>
      <c r="O206" s="18" t="n"/>
    </row>
    <row r="207">
      <c r="A207" s="18" t="n"/>
      <c r="B207" s="18" t="n"/>
      <c r="C207" s="18" t="n"/>
      <c r="D207" s="18" t="n"/>
      <c r="E207" s="18" t="n"/>
      <c r="F207" s="23" t="n"/>
      <c r="G207" s="23" t="n"/>
      <c r="H207" s="25" t="n"/>
      <c r="I207" s="18" t="n"/>
      <c r="J207" s="23" t="n"/>
      <c r="K207" s="18" t="n"/>
      <c r="L207" s="18" t="n"/>
      <c r="M207" s="24">
        <f>IFERROR(IF(G207="","",G207-TODAY()),"")</f>
        <v/>
      </c>
      <c r="N207" s="24">
        <f>IFERROR(IF(OR(I207="Cleared",I207="Cancelled",G207=""),"",IF(G207&lt;TODAY(),"OVERDUE",IF(G207&lt;=TODAY()+'Setup &amp; Lists'!$M$7,"DUE SOON",""))),"CHECK DATE")</f>
        <v/>
      </c>
      <c r="O207" s="18" t="n"/>
    </row>
    <row r="208">
      <c r="A208" s="18" t="n"/>
      <c r="B208" s="18" t="n"/>
      <c r="C208" s="18" t="n"/>
      <c r="D208" s="18" t="n"/>
      <c r="E208" s="18" t="n"/>
      <c r="F208" s="23" t="n"/>
      <c r="G208" s="23" t="n"/>
      <c r="H208" s="25" t="n"/>
      <c r="I208" s="18" t="n"/>
      <c r="J208" s="23" t="n"/>
      <c r="K208" s="18" t="n"/>
      <c r="L208" s="18" t="n"/>
      <c r="M208" s="24">
        <f>IFERROR(IF(G208="","",G208-TODAY()),"")</f>
        <v/>
      </c>
      <c r="N208" s="24">
        <f>IFERROR(IF(OR(I208="Cleared",I208="Cancelled",G208=""),"",IF(G208&lt;TODAY(),"OVERDUE",IF(G208&lt;=TODAY()+'Setup &amp; Lists'!$M$7,"DUE SOON",""))),"CHECK DATE")</f>
        <v/>
      </c>
      <c r="O208" s="18" t="n"/>
    </row>
    <row r="209">
      <c r="A209" s="18" t="n"/>
      <c r="B209" s="18" t="n"/>
      <c r="C209" s="18" t="n"/>
      <c r="D209" s="18" t="n"/>
      <c r="E209" s="18" t="n"/>
      <c r="F209" s="23" t="n"/>
      <c r="G209" s="23" t="n"/>
      <c r="H209" s="25" t="n"/>
      <c r="I209" s="18" t="n"/>
      <c r="J209" s="23" t="n"/>
      <c r="K209" s="18" t="n"/>
      <c r="L209" s="18" t="n"/>
      <c r="M209" s="24">
        <f>IFERROR(IF(G209="","",G209-TODAY()),"")</f>
        <v/>
      </c>
      <c r="N209" s="24">
        <f>IFERROR(IF(OR(I209="Cleared",I209="Cancelled",G209=""),"",IF(G209&lt;TODAY(),"OVERDUE",IF(G209&lt;=TODAY()+'Setup &amp; Lists'!$M$7,"DUE SOON",""))),"CHECK DATE")</f>
        <v/>
      </c>
      <c r="O209" s="18" t="n"/>
    </row>
    <row r="210">
      <c r="A210" s="18" t="n"/>
      <c r="B210" s="18" t="n"/>
      <c r="C210" s="18" t="n"/>
      <c r="D210" s="18" t="n"/>
      <c r="E210" s="18" t="n"/>
      <c r="F210" s="23" t="n"/>
      <c r="G210" s="23" t="n"/>
      <c r="H210" s="25" t="n"/>
      <c r="I210" s="18" t="n"/>
      <c r="J210" s="23" t="n"/>
      <c r="K210" s="18" t="n"/>
      <c r="L210" s="18" t="n"/>
      <c r="M210" s="24">
        <f>IFERROR(IF(G210="","",G210-TODAY()),"")</f>
        <v/>
      </c>
      <c r="N210" s="24">
        <f>IFERROR(IF(OR(I210="Cleared",I210="Cancelled",G210=""),"",IF(G210&lt;TODAY(),"OVERDUE",IF(G210&lt;=TODAY()+'Setup &amp; Lists'!$M$7,"DUE SOON",""))),"CHECK DATE")</f>
        <v/>
      </c>
      <c r="O210" s="18" t="n"/>
    </row>
    <row r="211">
      <c r="A211" s="18" t="n"/>
      <c r="B211" s="18" t="n"/>
      <c r="C211" s="18" t="n"/>
      <c r="D211" s="18" t="n"/>
      <c r="E211" s="18" t="n"/>
      <c r="F211" s="23" t="n"/>
      <c r="G211" s="23" t="n"/>
      <c r="H211" s="25" t="n"/>
      <c r="I211" s="18" t="n"/>
      <c r="J211" s="23" t="n"/>
      <c r="K211" s="18" t="n"/>
      <c r="L211" s="18" t="n"/>
      <c r="M211" s="24">
        <f>IFERROR(IF(G211="","",G211-TODAY()),"")</f>
        <v/>
      </c>
      <c r="N211" s="24">
        <f>IFERROR(IF(OR(I211="Cleared",I211="Cancelled",G211=""),"",IF(G211&lt;TODAY(),"OVERDUE",IF(G211&lt;=TODAY()+'Setup &amp; Lists'!$M$7,"DUE SOON",""))),"CHECK DATE")</f>
        <v/>
      </c>
      <c r="O211" s="18" t="n"/>
    </row>
    <row r="212">
      <c r="A212" s="18" t="n"/>
      <c r="B212" s="18" t="n"/>
      <c r="C212" s="18" t="n"/>
      <c r="D212" s="18" t="n"/>
      <c r="E212" s="18" t="n"/>
      <c r="F212" s="23" t="n"/>
      <c r="G212" s="23" t="n"/>
      <c r="H212" s="25" t="n"/>
      <c r="I212" s="18" t="n"/>
      <c r="J212" s="23" t="n"/>
      <c r="K212" s="18" t="n"/>
      <c r="L212" s="18" t="n"/>
      <c r="M212" s="24">
        <f>IFERROR(IF(G212="","",G212-TODAY()),"")</f>
        <v/>
      </c>
      <c r="N212" s="24">
        <f>IFERROR(IF(OR(I212="Cleared",I212="Cancelled",G212=""),"",IF(G212&lt;TODAY(),"OVERDUE",IF(G212&lt;=TODAY()+'Setup &amp; Lists'!$M$7,"DUE SOON",""))),"CHECK DATE")</f>
        <v/>
      </c>
      <c r="O212" s="18" t="n"/>
    </row>
    <row r="213">
      <c r="A213" s="18" t="n"/>
      <c r="B213" s="18" t="n"/>
      <c r="C213" s="18" t="n"/>
      <c r="D213" s="18" t="n"/>
      <c r="E213" s="18" t="n"/>
      <c r="F213" s="23" t="n"/>
      <c r="G213" s="23" t="n"/>
      <c r="H213" s="25" t="n"/>
      <c r="I213" s="18" t="n"/>
      <c r="J213" s="23" t="n"/>
      <c r="K213" s="18" t="n"/>
      <c r="L213" s="18" t="n"/>
      <c r="M213" s="24">
        <f>IFERROR(IF(G213="","",G213-TODAY()),"")</f>
        <v/>
      </c>
      <c r="N213" s="24">
        <f>IFERROR(IF(OR(I213="Cleared",I213="Cancelled",G213=""),"",IF(G213&lt;TODAY(),"OVERDUE",IF(G213&lt;=TODAY()+'Setup &amp; Lists'!$M$7,"DUE SOON",""))),"CHECK DATE")</f>
        <v/>
      </c>
      <c r="O213" s="18" t="n"/>
    </row>
    <row r="214">
      <c r="A214" s="18" t="n"/>
      <c r="B214" s="18" t="n"/>
      <c r="C214" s="18" t="n"/>
      <c r="D214" s="18" t="n"/>
      <c r="E214" s="18" t="n"/>
      <c r="F214" s="23" t="n"/>
      <c r="G214" s="23" t="n"/>
      <c r="H214" s="25" t="n"/>
      <c r="I214" s="18" t="n"/>
      <c r="J214" s="23" t="n"/>
      <c r="K214" s="18" t="n"/>
      <c r="L214" s="18" t="n"/>
      <c r="M214" s="24">
        <f>IFERROR(IF(G214="","",G214-TODAY()),"")</f>
        <v/>
      </c>
      <c r="N214" s="24">
        <f>IFERROR(IF(OR(I214="Cleared",I214="Cancelled",G214=""),"",IF(G214&lt;TODAY(),"OVERDUE",IF(G214&lt;=TODAY()+'Setup &amp; Lists'!$M$7,"DUE SOON",""))),"CHECK DATE")</f>
        <v/>
      </c>
      <c r="O214" s="18" t="n"/>
    </row>
    <row r="215">
      <c r="A215" s="18" t="n"/>
      <c r="B215" s="18" t="n"/>
      <c r="C215" s="18" t="n"/>
      <c r="D215" s="18" t="n"/>
      <c r="E215" s="18" t="n"/>
      <c r="F215" s="23" t="n"/>
      <c r="G215" s="23" t="n"/>
      <c r="H215" s="25" t="n"/>
      <c r="I215" s="18" t="n"/>
      <c r="J215" s="23" t="n"/>
      <c r="K215" s="18" t="n"/>
      <c r="L215" s="18" t="n"/>
      <c r="M215" s="24">
        <f>IFERROR(IF(G215="","",G215-TODAY()),"")</f>
        <v/>
      </c>
      <c r="N215" s="24">
        <f>IFERROR(IF(OR(I215="Cleared",I215="Cancelled",G215=""),"",IF(G215&lt;TODAY(),"OVERDUE",IF(G215&lt;=TODAY()+'Setup &amp; Lists'!$M$7,"DUE SOON",""))),"CHECK DATE")</f>
        <v/>
      </c>
      <c r="O215" s="18" t="n"/>
    </row>
    <row r="216">
      <c r="A216" s="18" t="n"/>
      <c r="B216" s="18" t="n"/>
      <c r="C216" s="18" t="n"/>
      <c r="D216" s="18" t="n"/>
      <c r="E216" s="18" t="n"/>
      <c r="F216" s="23" t="n"/>
      <c r="G216" s="23" t="n"/>
      <c r="H216" s="25" t="n"/>
      <c r="I216" s="18" t="n"/>
      <c r="J216" s="23" t="n"/>
      <c r="K216" s="18" t="n"/>
      <c r="L216" s="18" t="n"/>
      <c r="M216" s="24">
        <f>IFERROR(IF(G216="","",G216-TODAY()),"")</f>
        <v/>
      </c>
      <c r="N216" s="24">
        <f>IFERROR(IF(OR(I216="Cleared",I216="Cancelled",G216=""),"",IF(G216&lt;TODAY(),"OVERDUE",IF(G216&lt;=TODAY()+'Setup &amp; Lists'!$M$7,"DUE SOON",""))),"CHECK DATE")</f>
        <v/>
      </c>
      <c r="O216" s="18" t="n"/>
    </row>
    <row r="217">
      <c r="A217" s="18" t="n"/>
      <c r="B217" s="18" t="n"/>
      <c r="C217" s="18" t="n"/>
      <c r="D217" s="18" t="n"/>
      <c r="E217" s="18" t="n"/>
      <c r="F217" s="23" t="n"/>
      <c r="G217" s="23" t="n"/>
      <c r="H217" s="25" t="n"/>
      <c r="I217" s="18" t="n"/>
      <c r="J217" s="23" t="n"/>
      <c r="K217" s="18" t="n"/>
      <c r="L217" s="18" t="n"/>
      <c r="M217" s="24">
        <f>IFERROR(IF(G217="","",G217-TODAY()),"")</f>
        <v/>
      </c>
      <c r="N217" s="24">
        <f>IFERROR(IF(OR(I217="Cleared",I217="Cancelled",G217=""),"",IF(G217&lt;TODAY(),"OVERDUE",IF(G217&lt;=TODAY()+'Setup &amp; Lists'!$M$7,"DUE SOON",""))),"CHECK DATE")</f>
        <v/>
      </c>
      <c r="O217" s="18" t="n"/>
    </row>
    <row r="218">
      <c r="A218" s="18" t="n"/>
      <c r="B218" s="18" t="n"/>
      <c r="C218" s="18" t="n"/>
      <c r="D218" s="18" t="n"/>
      <c r="E218" s="18" t="n"/>
      <c r="F218" s="23" t="n"/>
      <c r="G218" s="23" t="n"/>
      <c r="H218" s="25" t="n"/>
      <c r="I218" s="18" t="n"/>
      <c r="J218" s="23" t="n"/>
      <c r="K218" s="18" t="n"/>
      <c r="L218" s="18" t="n"/>
      <c r="M218" s="24">
        <f>IFERROR(IF(G218="","",G218-TODAY()),"")</f>
        <v/>
      </c>
      <c r="N218" s="24">
        <f>IFERROR(IF(OR(I218="Cleared",I218="Cancelled",G218=""),"",IF(G218&lt;TODAY(),"OVERDUE",IF(G218&lt;=TODAY()+'Setup &amp; Lists'!$M$7,"DUE SOON",""))),"CHECK DATE")</f>
        <v/>
      </c>
      <c r="O218" s="18" t="n"/>
    </row>
    <row r="219">
      <c r="A219" s="18" t="n"/>
      <c r="B219" s="18" t="n"/>
      <c r="C219" s="18" t="n"/>
      <c r="D219" s="18" t="n"/>
      <c r="E219" s="18" t="n"/>
      <c r="F219" s="23" t="n"/>
      <c r="G219" s="23" t="n"/>
      <c r="H219" s="25" t="n"/>
      <c r="I219" s="18" t="n"/>
      <c r="J219" s="23" t="n"/>
      <c r="K219" s="18" t="n"/>
      <c r="L219" s="18" t="n"/>
      <c r="M219" s="24">
        <f>IFERROR(IF(G219="","",G219-TODAY()),"")</f>
        <v/>
      </c>
      <c r="N219" s="24">
        <f>IFERROR(IF(OR(I219="Cleared",I219="Cancelled",G219=""),"",IF(G219&lt;TODAY(),"OVERDUE",IF(G219&lt;=TODAY()+'Setup &amp; Lists'!$M$7,"DUE SOON",""))),"CHECK DATE")</f>
        <v/>
      </c>
      <c r="O219" s="18" t="n"/>
    </row>
    <row r="220">
      <c r="A220" s="18" t="n"/>
      <c r="B220" s="18" t="n"/>
      <c r="C220" s="18" t="n"/>
      <c r="D220" s="18" t="n"/>
      <c r="E220" s="18" t="n"/>
      <c r="F220" s="23" t="n"/>
      <c r="G220" s="23" t="n"/>
      <c r="H220" s="25" t="n"/>
      <c r="I220" s="18" t="n"/>
      <c r="J220" s="23" t="n"/>
      <c r="K220" s="18" t="n"/>
      <c r="L220" s="18" t="n"/>
      <c r="M220" s="24">
        <f>IFERROR(IF(G220="","",G220-TODAY()),"")</f>
        <v/>
      </c>
      <c r="N220" s="24">
        <f>IFERROR(IF(OR(I220="Cleared",I220="Cancelled",G220=""),"",IF(G220&lt;TODAY(),"OVERDUE",IF(G220&lt;=TODAY()+'Setup &amp; Lists'!$M$7,"DUE SOON",""))),"CHECK DATE")</f>
        <v/>
      </c>
      <c r="O220" s="18" t="n"/>
    </row>
    <row r="221">
      <c r="A221" s="18" t="n"/>
      <c r="B221" s="18" t="n"/>
      <c r="C221" s="18" t="n"/>
      <c r="D221" s="18" t="n"/>
      <c r="E221" s="18" t="n"/>
      <c r="F221" s="23" t="n"/>
      <c r="G221" s="23" t="n"/>
      <c r="H221" s="25" t="n"/>
      <c r="I221" s="18" t="n"/>
      <c r="J221" s="23" t="n"/>
      <c r="K221" s="18" t="n"/>
      <c r="L221" s="18" t="n"/>
      <c r="M221" s="24">
        <f>IFERROR(IF(G221="","",G221-TODAY()),"")</f>
        <v/>
      </c>
      <c r="N221" s="24">
        <f>IFERROR(IF(OR(I221="Cleared",I221="Cancelled",G221=""),"",IF(G221&lt;TODAY(),"OVERDUE",IF(G221&lt;=TODAY()+'Setup &amp; Lists'!$M$7,"DUE SOON",""))),"CHECK DATE")</f>
        <v/>
      </c>
      <c r="O221" s="18" t="n"/>
    </row>
    <row r="222">
      <c r="A222" s="18" t="n"/>
      <c r="B222" s="18" t="n"/>
      <c r="C222" s="18" t="n"/>
      <c r="D222" s="18" t="n"/>
      <c r="E222" s="18" t="n"/>
      <c r="F222" s="23" t="n"/>
      <c r="G222" s="23" t="n"/>
      <c r="H222" s="25" t="n"/>
      <c r="I222" s="18" t="n"/>
      <c r="J222" s="23" t="n"/>
      <c r="K222" s="18" t="n"/>
      <c r="L222" s="18" t="n"/>
      <c r="M222" s="24">
        <f>IFERROR(IF(G222="","",G222-TODAY()),"")</f>
        <v/>
      </c>
      <c r="N222" s="24">
        <f>IFERROR(IF(OR(I222="Cleared",I222="Cancelled",G222=""),"",IF(G222&lt;TODAY(),"OVERDUE",IF(G222&lt;=TODAY()+'Setup &amp; Lists'!$M$7,"DUE SOON",""))),"CHECK DATE")</f>
        <v/>
      </c>
      <c r="O222" s="18" t="n"/>
    </row>
    <row r="223">
      <c r="A223" s="18" t="n"/>
      <c r="B223" s="18" t="n"/>
      <c r="C223" s="18" t="n"/>
      <c r="D223" s="18" t="n"/>
      <c r="E223" s="18" t="n"/>
      <c r="F223" s="23" t="n"/>
      <c r="G223" s="23" t="n"/>
      <c r="H223" s="25" t="n"/>
      <c r="I223" s="18" t="n"/>
      <c r="J223" s="23" t="n"/>
      <c r="K223" s="18" t="n"/>
      <c r="L223" s="18" t="n"/>
      <c r="M223" s="24">
        <f>IFERROR(IF(G223="","",G223-TODAY()),"")</f>
        <v/>
      </c>
      <c r="N223" s="24">
        <f>IFERROR(IF(OR(I223="Cleared",I223="Cancelled",G223=""),"",IF(G223&lt;TODAY(),"OVERDUE",IF(G223&lt;=TODAY()+'Setup &amp; Lists'!$M$7,"DUE SOON",""))),"CHECK DATE")</f>
        <v/>
      </c>
      <c r="O223" s="18" t="n"/>
    </row>
    <row r="224">
      <c r="A224" s="18" t="n"/>
      <c r="B224" s="18" t="n"/>
      <c r="C224" s="18" t="n"/>
      <c r="D224" s="18" t="n"/>
      <c r="E224" s="18" t="n"/>
      <c r="F224" s="23" t="n"/>
      <c r="G224" s="23" t="n"/>
      <c r="H224" s="25" t="n"/>
      <c r="I224" s="18" t="n"/>
      <c r="J224" s="23" t="n"/>
      <c r="K224" s="18" t="n"/>
      <c r="L224" s="18" t="n"/>
      <c r="M224" s="24">
        <f>IFERROR(IF(G224="","",G224-TODAY()),"")</f>
        <v/>
      </c>
      <c r="N224" s="24">
        <f>IFERROR(IF(OR(I224="Cleared",I224="Cancelled",G224=""),"",IF(G224&lt;TODAY(),"OVERDUE",IF(G224&lt;=TODAY()+'Setup &amp; Lists'!$M$7,"DUE SOON",""))),"CHECK DATE")</f>
        <v/>
      </c>
      <c r="O224" s="18" t="n"/>
    </row>
    <row r="225">
      <c r="A225" s="18" t="n"/>
      <c r="B225" s="18" t="n"/>
      <c r="C225" s="18" t="n"/>
      <c r="D225" s="18" t="n"/>
      <c r="E225" s="18" t="n"/>
      <c r="F225" s="23" t="n"/>
      <c r="G225" s="23" t="n"/>
      <c r="H225" s="25" t="n"/>
      <c r="I225" s="18" t="n"/>
      <c r="J225" s="23" t="n"/>
      <c r="K225" s="18" t="n"/>
      <c r="L225" s="18" t="n"/>
      <c r="M225" s="24">
        <f>IFERROR(IF(G225="","",G225-TODAY()),"")</f>
        <v/>
      </c>
      <c r="N225" s="24">
        <f>IFERROR(IF(OR(I225="Cleared",I225="Cancelled",G225=""),"",IF(G225&lt;TODAY(),"OVERDUE",IF(G225&lt;=TODAY()+'Setup &amp; Lists'!$M$7,"DUE SOON",""))),"CHECK DATE")</f>
        <v/>
      </c>
      <c r="O225" s="18" t="n"/>
    </row>
    <row r="226">
      <c r="A226" s="18" t="n"/>
      <c r="B226" s="18" t="n"/>
      <c r="C226" s="18" t="n"/>
      <c r="D226" s="18" t="n"/>
      <c r="E226" s="18" t="n"/>
      <c r="F226" s="23" t="n"/>
      <c r="G226" s="23" t="n"/>
      <c r="H226" s="25" t="n"/>
      <c r="I226" s="18" t="n"/>
      <c r="J226" s="23" t="n"/>
      <c r="K226" s="18" t="n"/>
      <c r="L226" s="18" t="n"/>
      <c r="M226" s="24">
        <f>IFERROR(IF(G226="","",G226-TODAY()),"")</f>
        <v/>
      </c>
      <c r="N226" s="24">
        <f>IFERROR(IF(OR(I226="Cleared",I226="Cancelled",G226=""),"",IF(G226&lt;TODAY(),"OVERDUE",IF(G226&lt;=TODAY()+'Setup &amp; Lists'!$M$7,"DUE SOON",""))),"CHECK DATE")</f>
        <v/>
      </c>
      <c r="O226" s="18" t="n"/>
    </row>
    <row r="227">
      <c r="A227" s="18" t="n"/>
      <c r="B227" s="18" t="n"/>
      <c r="C227" s="18" t="n"/>
      <c r="D227" s="18" t="n"/>
      <c r="E227" s="18" t="n"/>
      <c r="F227" s="23" t="n"/>
      <c r="G227" s="23" t="n"/>
      <c r="H227" s="25" t="n"/>
      <c r="I227" s="18" t="n"/>
      <c r="J227" s="23" t="n"/>
      <c r="K227" s="18" t="n"/>
      <c r="L227" s="18" t="n"/>
      <c r="M227" s="24">
        <f>IFERROR(IF(G227="","",G227-TODAY()),"")</f>
        <v/>
      </c>
      <c r="N227" s="24">
        <f>IFERROR(IF(OR(I227="Cleared",I227="Cancelled",G227=""),"",IF(G227&lt;TODAY(),"OVERDUE",IF(G227&lt;=TODAY()+'Setup &amp; Lists'!$M$7,"DUE SOON",""))),"CHECK DATE")</f>
        <v/>
      </c>
      <c r="O227" s="18" t="n"/>
    </row>
    <row r="228">
      <c r="A228" s="18" t="n"/>
      <c r="B228" s="18" t="n"/>
      <c r="C228" s="18" t="n"/>
      <c r="D228" s="18" t="n"/>
      <c r="E228" s="18" t="n"/>
      <c r="F228" s="23" t="n"/>
      <c r="G228" s="23" t="n"/>
      <c r="H228" s="25" t="n"/>
      <c r="I228" s="18" t="n"/>
      <c r="J228" s="23" t="n"/>
      <c r="K228" s="18" t="n"/>
      <c r="L228" s="18" t="n"/>
      <c r="M228" s="24">
        <f>IFERROR(IF(G228="","",G228-TODAY()),"")</f>
        <v/>
      </c>
      <c r="N228" s="24">
        <f>IFERROR(IF(OR(I228="Cleared",I228="Cancelled",G228=""),"",IF(G228&lt;TODAY(),"OVERDUE",IF(G228&lt;=TODAY()+'Setup &amp; Lists'!$M$7,"DUE SOON",""))),"CHECK DATE")</f>
        <v/>
      </c>
      <c r="O228" s="18" t="n"/>
    </row>
    <row r="229">
      <c r="A229" s="18" t="n"/>
      <c r="B229" s="18" t="n"/>
      <c r="C229" s="18" t="n"/>
      <c r="D229" s="18" t="n"/>
      <c r="E229" s="18" t="n"/>
      <c r="F229" s="23" t="n"/>
      <c r="G229" s="23" t="n"/>
      <c r="H229" s="25" t="n"/>
      <c r="I229" s="18" t="n"/>
      <c r="J229" s="23" t="n"/>
      <c r="K229" s="18" t="n"/>
      <c r="L229" s="18" t="n"/>
      <c r="M229" s="24">
        <f>IFERROR(IF(G229="","",G229-TODAY()),"")</f>
        <v/>
      </c>
      <c r="N229" s="24">
        <f>IFERROR(IF(OR(I229="Cleared",I229="Cancelled",G229=""),"",IF(G229&lt;TODAY(),"OVERDUE",IF(G229&lt;=TODAY()+'Setup &amp; Lists'!$M$7,"DUE SOON",""))),"CHECK DATE")</f>
        <v/>
      </c>
      <c r="O229" s="18" t="n"/>
    </row>
    <row r="230">
      <c r="A230" s="18" t="n"/>
      <c r="B230" s="18" t="n"/>
      <c r="C230" s="18" t="n"/>
      <c r="D230" s="18" t="n"/>
      <c r="E230" s="18" t="n"/>
      <c r="F230" s="23" t="n"/>
      <c r="G230" s="23" t="n"/>
      <c r="H230" s="25" t="n"/>
      <c r="I230" s="18" t="n"/>
      <c r="J230" s="23" t="n"/>
      <c r="K230" s="18" t="n"/>
      <c r="L230" s="18" t="n"/>
      <c r="M230" s="24">
        <f>IFERROR(IF(G230="","",G230-TODAY()),"")</f>
        <v/>
      </c>
      <c r="N230" s="24">
        <f>IFERROR(IF(OR(I230="Cleared",I230="Cancelled",G230=""),"",IF(G230&lt;TODAY(),"OVERDUE",IF(G230&lt;=TODAY()+'Setup &amp; Lists'!$M$7,"DUE SOON",""))),"CHECK DATE")</f>
        <v/>
      </c>
      <c r="O230" s="18" t="n"/>
    </row>
    <row r="231">
      <c r="A231" s="18" t="n"/>
      <c r="B231" s="18" t="n"/>
      <c r="C231" s="18" t="n"/>
      <c r="D231" s="18" t="n"/>
      <c r="E231" s="18" t="n"/>
      <c r="F231" s="23" t="n"/>
      <c r="G231" s="23" t="n"/>
      <c r="H231" s="25" t="n"/>
      <c r="I231" s="18" t="n"/>
      <c r="J231" s="23" t="n"/>
      <c r="K231" s="18" t="n"/>
      <c r="L231" s="18" t="n"/>
      <c r="M231" s="24">
        <f>IFERROR(IF(G231="","",G231-TODAY()),"")</f>
        <v/>
      </c>
      <c r="N231" s="24">
        <f>IFERROR(IF(OR(I231="Cleared",I231="Cancelled",G231=""),"",IF(G231&lt;TODAY(),"OVERDUE",IF(G231&lt;=TODAY()+'Setup &amp; Lists'!$M$7,"DUE SOON",""))),"CHECK DATE")</f>
        <v/>
      </c>
      <c r="O231" s="18" t="n"/>
    </row>
    <row r="232">
      <c r="A232" s="18" t="n"/>
      <c r="B232" s="18" t="n"/>
      <c r="C232" s="18" t="n"/>
      <c r="D232" s="18" t="n"/>
      <c r="E232" s="18" t="n"/>
      <c r="F232" s="23" t="n"/>
      <c r="G232" s="23" t="n"/>
      <c r="H232" s="25" t="n"/>
      <c r="I232" s="18" t="n"/>
      <c r="J232" s="23" t="n"/>
      <c r="K232" s="18" t="n"/>
      <c r="L232" s="18" t="n"/>
      <c r="M232" s="24">
        <f>IFERROR(IF(G232="","",G232-TODAY()),"")</f>
        <v/>
      </c>
      <c r="N232" s="24">
        <f>IFERROR(IF(OR(I232="Cleared",I232="Cancelled",G232=""),"",IF(G232&lt;TODAY(),"OVERDUE",IF(G232&lt;=TODAY()+'Setup &amp; Lists'!$M$7,"DUE SOON",""))),"CHECK DATE")</f>
        <v/>
      </c>
      <c r="O232" s="18" t="n"/>
    </row>
    <row r="233">
      <c r="A233" s="18" t="n"/>
      <c r="B233" s="18" t="n"/>
      <c r="C233" s="18" t="n"/>
      <c r="D233" s="18" t="n"/>
      <c r="E233" s="18" t="n"/>
      <c r="F233" s="23" t="n"/>
      <c r="G233" s="23" t="n"/>
      <c r="H233" s="25" t="n"/>
      <c r="I233" s="18" t="n"/>
      <c r="J233" s="23" t="n"/>
      <c r="K233" s="18" t="n"/>
      <c r="L233" s="18" t="n"/>
      <c r="M233" s="24">
        <f>IFERROR(IF(G233="","",G233-TODAY()),"")</f>
        <v/>
      </c>
      <c r="N233" s="24">
        <f>IFERROR(IF(OR(I233="Cleared",I233="Cancelled",G233=""),"",IF(G233&lt;TODAY(),"OVERDUE",IF(G233&lt;=TODAY()+'Setup &amp; Lists'!$M$7,"DUE SOON",""))),"CHECK DATE")</f>
        <v/>
      </c>
      <c r="O233" s="18" t="n"/>
    </row>
    <row r="234">
      <c r="A234" s="18" t="n"/>
      <c r="B234" s="18" t="n"/>
      <c r="C234" s="18" t="n"/>
      <c r="D234" s="18" t="n"/>
      <c r="E234" s="18" t="n"/>
      <c r="F234" s="23" t="n"/>
      <c r="G234" s="23" t="n"/>
      <c r="H234" s="25" t="n"/>
      <c r="I234" s="18" t="n"/>
      <c r="J234" s="23" t="n"/>
      <c r="K234" s="18" t="n"/>
      <c r="L234" s="18" t="n"/>
      <c r="M234" s="24">
        <f>IFERROR(IF(G234="","",G234-TODAY()),"")</f>
        <v/>
      </c>
      <c r="N234" s="24">
        <f>IFERROR(IF(OR(I234="Cleared",I234="Cancelled",G234=""),"",IF(G234&lt;TODAY(),"OVERDUE",IF(G234&lt;=TODAY()+'Setup &amp; Lists'!$M$7,"DUE SOON",""))),"CHECK DATE")</f>
        <v/>
      </c>
      <c r="O234" s="18" t="n"/>
    </row>
    <row r="235">
      <c r="A235" s="18" t="n"/>
      <c r="B235" s="18" t="n"/>
      <c r="C235" s="18" t="n"/>
      <c r="D235" s="18" t="n"/>
      <c r="E235" s="18" t="n"/>
      <c r="F235" s="23" t="n"/>
      <c r="G235" s="23" t="n"/>
      <c r="H235" s="25" t="n"/>
      <c r="I235" s="18" t="n"/>
      <c r="J235" s="23" t="n"/>
      <c r="K235" s="18" t="n"/>
      <c r="L235" s="18" t="n"/>
      <c r="M235" s="24">
        <f>IFERROR(IF(G235="","",G235-TODAY()),"")</f>
        <v/>
      </c>
      <c r="N235" s="24">
        <f>IFERROR(IF(OR(I235="Cleared",I235="Cancelled",G235=""),"",IF(G235&lt;TODAY(),"OVERDUE",IF(G235&lt;=TODAY()+'Setup &amp; Lists'!$M$7,"DUE SOON",""))),"CHECK DATE")</f>
        <v/>
      </c>
      <c r="O235" s="18" t="n"/>
    </row>
    <row r="236">
      <c r="A236" s="18" t="n"/>
      <c r="B236" s="18" t="n"/>
      <c r="C236" s="18" t="n"/>
      <c r="D236" s="18" t="n"/>
      <c r="E236" s="18" t="n"/>
      <c r="F236" s="23" t="n"/>
      <c r="G236" s="23" t="n"/>
      <c r="H236" s="25" t="n"/>
      <c r="I236" s="18" t="n"/>
      <c r="J236" s="23" t="n"/>
      <c r="K236" s="18" t="n"/>
      <c r="L236" s="18" t="n"/>
      <c r="M236" s="24">
        <f>IFERROR(IF(G236="","",G236-TODAY()),"")</f>
        <v/>
      </c>
      <c r="N236" s="24">
        <f>IFERROR(IF(OR(I236="Cleared",I236="Cancelled",G236=""),"",IF(G236&lt;TODAY(),"OVERDUE",IF(G236&lt;=TODAY()+'Setup &amp; Lists'!$M$7,"DUE SOON",""))),"CHECK DATE")</f>
        <v/>
      </c>
      <c r="O236" s="18" t="n"/>
    </row>
    <row r="237">
      <c r="A237" s="18" t="n"/>
      <c r="B237" s="18" t="n"/>
      <c r="C237" s="18" t="n"/>
      <c r="D237" s="18" t="n"/>
      <c r="E237" s="18" t="n"/>
      <c r="F237" s="23" t="n"/>
      <c r="G237" s="23" t="n"/>
      <c r="H237" s="25" t="n"/>
      <c r="I237" s="18" t="n"/>
      <c r="J237" s="23" t="n"/>
      <c r="K237" s="18" t="n"/>
      <c r="L237" s="18" t="n"/>
      <c r="M237" s="24">
        <f>IFERROR(IF(G237="","",G237-TODAY()),"")</f>
        <v/>
      </c>
      <c r="N237" s="24">
        <f>IFERROR(IF(OR(I237="Cleared",I237="Cancelled",G237=""),"",IF(G237&lt;TODAY(),"OVERDUE",IF(G237&lt;=TODAY()+'Setup &amp; Lists'!$M$7,"DUE SOON",""))),"CHECK DATE")</f>
        <v/>
      </c>
      <c r="O237" s="18" t="n"/>
    </row>
    <row r="238">
      <c r="A238" s="18" t="n"/>
      <c r="B238" s="18" t="n"/>
      <c r="C238" s="18" t="n"/>
      <c r="D238" s="18" t="n"/>
      <c r="E238" s="18" t="n"/>
      <c r="F238" s="23" t="n"/>
      <c r="G238" s="23" t="n"/>
      <c r="H238" s="25" t="n"/>
      <c r="I238" s="18" t="n"/>
      <c r="J238" s="23" t="n"/>
      <c r="K238" s="18" t="n"/>
      <c r="L238" s="18" t="n"/>
      <c r="M238" s="24">
        <f>IFERROR(IF(G238="","",G238-TODAY()),"")</f>
        <v/>
      </c>
      <c r="N238" s="24">
        <f>IFERROR(IF(OR(I238="Cleared",I238="Cancelled",G238=""),"",IF(G238&lt;TODAY(),"OVERDUE",IF(G238&lt;=TODAY()+'Setup &amp; Lists'!$M$7,"DUE SOON",""))),"CHECK DATE")</f>
        <v/>
      </c>
      <c r="O238" s="18" t="n"/>
    </row>
    <row r="239">
      <c r="A239" s="18" t="n"/>
      <c r="B239" s="18" t="n"/>
      <c r="C239" s="18" t="n"/>
      <c r="D239" s="18" t="n"/>
      <c r="E239" s="18" t="n"/>
      <c r="F239" s="23" t="n"/>
      <c r="G239" s="23" t="n"/>
      <c r="H239" s="25" t="n"/>
      <c r="I239" s="18" t="n"/>
      <c r="J239" s="23" t="n"/>
      <c r="K239" s="18" t="n"/>
      <c r="L239" s="18" t="n"/>
      <c r="M239" s="24">
        <f>IFERROR(IF(G239="","",G239-TODAY()),"")</f>
        <v/>
      </c>
      <c r="N239" s="24">
        <f>IFERROR(IF(OR(I239="Cleared",I239="Cancelled",G239=""),"",IF(G239&lt;TODAY(),"OVERDUE",IF(G239&lt;=TODAY()+'Setup &amp; Lists'!$M$7,"DUE SOON",""))),"CHECK DATE")</f>
        <v/>
      </c>
      <c r="O239" s="18" t="n"/>
    </row>
    <row r="240">
      <c r="A240" s="18" t="n"/>
      <c r="B240" s="18" t="n"/>
      <c r="C240" s="18" t="n"/>
      <c r="D240" s="18" t="n"/>
      <c r="E240" s="18" t="n"/>
      <c r="F240" s="23" t="n"/>
      <c r="G240" s="23" t="n"/>
      <c r="H240" s="25" t="n"/>
      <c r="I240" s="18" t="n"/>
      <c r="J240" s="23" t="n"/>
      <c r="K240" s="18" t="n"/>
      <c r="L240" s="18" t="n"/>
      <c r="M240" s="24">
        <f>IFERROR(IF(G240="","",G240-TODAY()),"")</f>
        <v/>
      </c>
      <c r="N240" s="24">
        <f>IFERROR(IF(OR(I240="Cleared",I240="Cancelled",G240=""),"",IF(G240&lt;TODAY(),"OVERDUE",IF(G240&lt;=TODAY()+'Setup &amp; Lists'!$M$7,"DUE SOON",""))),"CHECK DATE")</f>
        <v/>
      </c>
      <c r="O240" s="18" t="n"/>
    </row>
    <row r="241">
      <c r="A241" s="18" t="n"/>
      <c r="B241" s="18" t="n"/>
      <c r="C241" s="18" t="n"/>
      <c r="D241" s="18" t="n"/>
      <c r="E241" s="18" t="n"/>
      <c r="F241" s="23" t="n"/>
      <c r="G241" s="23" t="n"/>
      <c r="H241" s="25" t="n"/>
      <c r="I241" s="18" t="n"/>
      <c r="J241" s="23" t="n"/>
      <c r="K241" s="18" t="n"/>
      <c r="L241" s="18" t="n"/>
      <c r="M241" s="24">
        <f>IFERROR(IF(G241="","",G241-TODAY()),"")</f>
        <v/>
      </c>
      <c r="N241" s="24">
        <f>IFERROR(IF(OR(I241="Cleared",I241="Cancelled",G241=""),"",IF(G241&lt;TODAY(),"OVERDUE",IF(G241&lt;=TODAY()+'Setup &amp; Lists'!$M$7,"DUE SOON",""))),"CHECK DATE")</f>
        <v/>
      </c>
      <c r="O241" s="18" t="n"/>
    </row>
    <row r="242">
      <c r="A242" s="18" t="n"/>
      <c r="B242" s="18" t="n"/>
      <c r="C242" s="18" t="n"/>
      <c r="D242" s="18" t="n"/>
      <c r="E242" s="18" t="n"/>
      <c r="F242" s="23" t="n"/>
      <c r="G242" s="23" t="n"/>
      <c r="H242" s="25" t="n"/>
      <c r="I242" s="18" t="n"/>
      <c r="J242" s="23" t="n"/>
      <c r="K242" s="18" t="n"/>
      <c r="L242" s="18" t="n"/>
      <c r="M242" s="24">
        <f>IFERROR(IF(G242="","",G242-TODAY()),"")</f>
        <v/>
      </c>
      <c r="N242" s="24">
        <f>IFERROR(IF(OR(I242="Cleared",I242="Cancelled",G242=""),"",IF(G242&lt;TODAY(),"OVERDUE",IF(G242&lt;=TODAY()+'Setup &amp; Lists'!$M$7,"DUE SOON",""))),"CHECK DATE")</f>
        <v/>
      </c>
      <c r="O242" s="18" t="n"/>
    </row>
    <row r="243">
      <c r="A243" s="18" t="n"/>
      <c r="B243" s="18" t="n"/>
      <c r="C243" s="18" t="n"/>
      <c r="D243" s="18" t="n"/>
      <c r="E243" s="18" t="n"/>
      <c r="F243" s="23" t="n"/>
      <c r="G243" s="23" t="n"/>
      <c r="H243" s="25" t="n"/>
      <c r="I243" s="18" t="n"/>
      <c r="J243" s="23" t="n"/>
      <c r="K243" s="18" t="n"/>
      <c r="L243" s="18" t="n"/>
      <c r="M243" s="24">
        <f>IFERROR(IF(G243="","",G243-TODAY()),"")</f>
        <v/>
      </c>
      <c r="N243" s="24">
        <f>IFERROR(IF(OR(I243="Cleared",I243="Cancelled",G243=""),"",IF(G243&lt;TODAY(),"OVERDUE",IF(G243&lt;=TODAY()+'Setup &amp; Lists'!$M$7,"DUE SOON",""))),"CHECK DATE")</f>
        <v/>
      </c>
      <c r="O243" s="18" t="n"/>
    </row>
    <row r="244">
      <c r="A244" s="18" t="n"/>
      <c r="B244" s="18" t="n"/>
      <c r="C244" s="18" t="n"/>
      <c r="D244" s="18" t="n"/>
      <c r="E244" s="18" t="n"/>
      <c r="F244" s="23" t="n"/>
      <c r="G244" s="23" t="n"/>
      <c r="H244" s="25" t="n"/>
      <c r="I244" s="18" t="n"/>
      <c r="J244" s="23" t="n"/>
      <c r="K244" s="18" t="n"/>
      <c r="L244" s="18" t="n"/>
      <c r="M244" s="24">
        <f>IFERROR(IF(G244="","",G244-TODAY()),"")</f>
        <v/>
      </c>
      <c r="N244" s="24">
        <f>IFERROR(IF(OR(I244="Cleared",I244="Cancelled",G244=""),"",IF(G244&lt;TODAY(),"OVERDUE",IF(G244&lt;=TODAY()+'Setup &amp; Lists'!$M$7,"DUE SOON",""))),"CHECK DATE")</f>
        <v/>
      </c>
      <c r="O244" s="18" t="n"/>
    </row>
    <row r="245">
      <c r="A245" s="18" t="n"/>
      <c r="B245" s="18" t="n"/>
      <c r="C245" s="18" t="n"/>
      <c r="D245" s="18" t="n"/>
      <c r="E245" s="18" t="n"/>
      <c r="F245" s="23" t="n"/>
      <c r="G245" s="23" t="n"/>
      <c r="H245" s="25" t="n"/>
      <c r="I245" s="18" t="n"/>
      <c r="J245" s="23" t="n"/>
      <c r="K245" s="18" t="n"/>
      <c r="L245" s="18" t="n"/>
      <c r="M245" s="24">
        <f>IFERROR(IF(G245="","",G245-TODAY()),"")</f>
        <v/>
      </c>
      <c r="N245" s="24">
        <f>IFERROR(IF(OR(I245="Cleared",I245="Cancelled",G245=""),"",IF(G245&lt;TODAY(),"OVERDUE",IF(G245&lt;=TODAY()+'Setup &amp; Lists'!$M$7,"DUE SOON",""))),"CHECK DATE")</f>
        <v/>
      </c>
      <c r="O245" s="18" t="n"/>
    </row>
    <row r="246">
      <c r="A246" s="18" t="n"/>
      <c r="B246" s="18" t="n"/>
      <c r="C246" s="18" t="n"/>
      <c r="D246" s="18" t="n"/>
      <c r="E246" s="18" t="n"/>
      <c r="F246" s="23" t="n"/>
      <c r="G246" s="23" t="n"/>
      <c r="H246" s="25" t="n"/>
      <c r="I246" s="18" t="n"/>
      <c r="J246" s="23" t="n"/>
      <c r="K246" s="18" t="n"/>
      <c r="L246" s="18" t="n"/>
      <c r="M246" s="24">
        <f>IFERROR(IF(G246="","",G246-TODAY()),"")</f>
        <v/>
      </c>
      <c r="N246" s="24">
        <f>IFERROR(IF(OR(I246="Cleared",I246="Cancelled",G246=""),"",IF(G246&lt;TODAY(),"OVERDUE",IF(G246&lt;=TODAY()+'Setup &amp; Lists'!$M$7,"DUE SOON",""))),"CHECK DATE")</f>
        <v/>
      </c>
      <c r="O246" s="18" t="n"/>
    </row>
    <row r="247">
      <c r="A247" s="18" t="n"/>
      <c r="B247" s="18" t="n"/>
      <c r="C247" s="18" t="n"/>
      <c r="D247" s="18" t="n"/>
      <c r="E247" s="18" t="n"/>
      <c r="F247" s="23" t="n"/>
      <c r="G247" s="23" t="n"/>
      <c r="H247" s="25" t="n"/>
      <c r="I247" s="18" t="n"/>
      <c r="J247" s="23" t="n"/>
      <c r="K247" s="18" t="n"/>
      <c r="L247" s="18" t="n"/>
      <c r="M247" s="24">
        <f>IFERROR(IF(G247="","",G247-TODAY()),"")</f>
        <v/>
      </c>
      <c r="N247" s="24">
        <f>IFERROR(IF(OR(I247="Cleared",I247="Cancelled",G247=""),"",IF(G247&lt;TODAY(),"OVERDUE",IF(G247&lt;=TODAY()+'Setup &amp; Lists'!$M$7,"DUE SOON",""))),"CHECK DATE")</f>
        <v/>
      </c>
      <c r="O247" s="18" t="n"/>
    </row>
    <row r="248">
      <c r="A248" s="18" t="n"/>
      <c r="B248" s="18" t="n"/>
      <c r="C248" s="18" t="n"/>
      <c r="D248" s="18" t="n"/>
      <c r="E248" s="18" t="n"/>
      <c r="F248" s="23" t="n"/>
      <c r="G248" s="23" t="n"/>
      <c r="H248" s="25" t="n"/>
      <c r="I248" s="18" t="n"/>
      <c r="J248" s="23" t="n"/>
      <c r="K248" s="18" t="n"/>
      <c r="L248" s="18" t="n"/>
      <c r="M248" s="24">
        <f>IFERROR(IF(G248="","",G248-TODAY()),"")</f>
        <v/>
      </c>
      <c r="N248" s="24">
        <f>IFERROR(IF(OR(I248="Cleared",I248="Cancelled",G248=""),"",IF(G248&lt;TODAY(),"OVERDUE",IF(G248&lt;=TODAY()+'Setup &amp; Lists'!$M$7,"DUE SOON",""))),"CHECK DATE")</f>
        <v/>
      </c>
      <c r="O248" s="18" t="n"/>
    </row>
    <row r="249">
      <c r="A249" s="18" t="n"/>
      <c r="B249" s="18" t="n"/>
      <c r="C249" s="18" t="n"/>
      <c r="D249" s="18" t="n"/>
      <c r="E249" s="18" t="n"/>
      <c r="F249" s="23" t="n"/>
      <c r="G249" s="23" t="n"/>
      <c r="H249" s="25" t="n"/>
      <c r="I249" s="18" t="n"/>
      <c r="J249" s="23" t="n"/>
      <c r="K249" s="18" t="n"/>
      <c r="L249" s="18" t="n"/>
      <c r="M249" s="24">
        <f>IFERROR(IF(G249="","",G249-TODAY()),"")</f>
        <v/>
      </c>
      <c r="N249" s="24">
        <f>IFERROR(IF(OR(I249="Cleared",I249="Cancelled",G249=""),"",IF(G249&lt;TODAY(),"OVERDUE",IF(G249&lt;=TODAY()+'Setup &amp; Lists'!$M$7,"DUE SOON",""))),"CHECK DATE")</f>
        <v/>
      </c>
      <c r="O249" s="18" t="n"/>
    </row>
    <row r="250">
      <c r="A250" s="18" t="n"/>
      <c r="B250" s="18" t="n"/>
      <c r="C250" s="18" t="n"/>
      <c r="D250" s="18" t="n"/>
      <c r="E250" s="18" t="n"/>
      <c r="F250" s="23" t="n"/>
      <c r="G250" s="23" t="n"/>
      <c r="H250" s="25" t="n"/>
      <c r="I250" s="18" t="n"/>
      <c r="J250" s="23" t="n"/>
      <c r="K250" s="18" t="n"/>
      <c r="L250" s="18" t="n"/>
      <c r="M250" s="24">
        <f>IFERROR(IF(G250="","",G250-TODAY()),"")</f>
        <v/>
      </c>
      <c r="N250" s="24">
        <f>IFERROR(IF(OR(I250="Cleared",I250="Cancelled",G250=""),"",IF(G250&lt;TODAY(),"OVERDUE",IF(G250&lt;=TODAY()+'Setup &amp; Lists'!$M$7,"DUE SOON",""))),"CHECK DATE")</f>
        <v/>
      </c>
      <c r="O250" s="18" t="n"/>
    </row>
    <row r="251">
      <c r="A251" s="18" t="n"/>
      <c r="B251" s="18" t="n"/>
      <c r="C251" s="18" t="n"/>
      <c r="D251" s="18" t="n"/>
      <c r="E251" s="18" t="n"/>
      <c r="F251" s="23" t="n"/>
      <c r="G251" s="23" t="n"/>
      <c r="H251" s="25" t="n"/>
      <c r="I251" s="18" t="n"/>
      <c r="J251" s="23" t="n"/>
      <c r="K251" s="18" t="n"/>
      <c r="L251" s="18" t="n"/>
      <c r="M251" s="24">
        <f>IFERROR(IF(G251="","",G251-TODAY()),"")</f>
        <v/>
      </c>
      <c r="N251" s="24">
        <f>IFERROR(IF(OR(I251="Cleared",I251="Cancelled",G251=""),"",IF(G251&lt;TODAY(),"OVERDUE",IF(G251&lt;=TODAY()+'Setup &amp; Lists'!$M$7,"DUE SOON",""))),"CHECK DATE")</f>
        <v/>
      </c>
      <c r="O251" s="18" t="n"/>
    </row>
    <row r="252">
      <c r="A252" s="18" t="n"/>
      <c r="B252" s="18" t="n"/>
      <c r="C252" s="18" t="n"/>
      <c r="D252" s="18" t="n"/>
      <c r="E252" s="18" t="n"/>
      <c r="F252" s="23" t="n"/>
      <c r="G252" s="23" t="n"/>
      <c r="H252" s="25" t="n"/>
      <c r="I252" s="18" t="n"/>
      <c r="J252" s="23" t="n"/>
      <c r="K252" s="18" t="n"/>
      <c r="L252" s="18" t="n"/>
      <c r="M252" s="24">
        <f>IFERROR(IF(G252="","",G252-TODAY()),"")</f>
        <v/>
      </c>
      <c r="N252" s="24">
        <f>IFERROR(IF(OR(I252="Cleared",I252="Cancelled",G252=""),"",IF(G252&lt;TODAY(),"OVERDUE",IF(G252&lt;=TODAY()+'Setup &amp; Lists'!$M$7,"DUE SOON",""))),"CHECK DATE")</f>
        <v/>
      </c>
      <c r="O252" s="18" t="n"/>
    </row>
    <row r="253">
      <c r="A253" s="18" t="n"/>
      <c r="B253" s="18" t="n"/>
      <c r="C253" s="18" t="n"/>
      <c r="D253" s="18" t="n"/>
      <c r="E253" s="18" t="n"/>
      <c r="F253" s="23" t="n"/>
      <c r="G253" s="23" t="n"/>
      <c r="H253" s="25" t="n"/>
      <c r="I253" s="18" t="n"/>
      <c r="J253" s="23" t="n"/>
      <c r="K253" s="18" t="n"/>
      <c r="L253" s="18" t="n"/>
      <c r="M253" s="24">
        <f>IFERROR(IF(G253="","",G253-TODAY()),"")</f>
        <v/>
      </c>
      <c r="N253" s="24">
        <f>IFERROR(IF(OR(I253="Cleared",I253="Cancelled",G253=""),"",IF(G253&lt;TODAY(),"OVERDUE",IF(G253&lt;=TODAY()+'Setup &amp; Lists'!$M$7,"DUE SOON",""))),"CHECK DATE")</f>
        <v/>
      </c>
      <c r="O253" s="18" t="n"/>
    </row>
    <row r="254">
      <c r="A254" s="18" t="n"/>
      <c r="B254" s="18" t="n"/>
      <c r="C254" s="18" t="n"/>
      <c r="D254" s="18" t="n"/>
      <c r="E254" s="18" t="n"/>
      <c r="F254" s="23" t="n"/>
      <c r="G254" s="23" t="n"/>
      <c r="H254" s="25" t="n"/>
      <c r="I254" s="18" t="n"/>
      <c r="J254" s="23" t="n"/>
      <c r="K254" s="18" t="n"/>
      <c r="L254" s="18" t="n"/>
      <c r="M254" s="24">
        <f>IFERROR(IF(G254="","",G254-TODAY()),"")</f>
        <v/>
      </c>
      <c r="N254" s="24">
        <f>IFERROR(IF(OR(I254="Cleared",I254="Cancelled",G254=""),"",IF(G254&lt;TODAY(),"OVERDUE",IF(G254&lt;=TODAY()+'Setup &amp; Lists'!$M$7,"DUE SOON",""))),"CHECK DATE")</f>
        <v/>
      </c>
      <c r="O254" s="18" t="n"/>
    </row>
    <row r="255">
      <c r="A255" s="18" t="n"/>
      <c r="B255" s="18" t="n"/>
      <c r="C255" s="18" t="n"/>
      <c r="D255" s="18" t="n"/>
      <c r="E255" s="18" t="n"/>
      <c r="F255" s="23" t="n"/>
      <c r="G255" s="23" t="n"/>
      <c r="H255" s="25" t="n"/>
      <c r="I255" s="18" t="n"/>
      <c r="J255" s="23" t="n"/>
      <c r="K255" s="18" t="n"/>
      <c r="L255" s="18" t="n"/>
      <c r="M255" s="24">
        <f>IFERROR(IF(G255="","",G255-TODAY()),"")</f>
        <v/>
      </c>
      <c r="N255" s="24">
        <f>IFERROR(IF(OR(I255="Cleared",I255="Cancelled",G255=""),"",IF(G255&lt;TODAY(),"OVERDUE",IF(G255&lt;=TODAY()+'Setup &amp; Lists'!$M$7,"DUE SOON",""))),"CHECK DATE")</f>
        <v/>
      </c>
      <c r="O255" s="18" t="n"/>
    </row>
    <row r="256">
      <c r="A256" s="18" t="n"/>
      <c r="B256" s="18" t="n"/>
      <c r="C256" s="18" t="n"/>
      <c r="D256" s="18" t="n"/>
      <c r="E256" s="18" t="n"/>
      <c r="F256" s="23" t="n"/>
      <c r="G256" s="23" t="n"/>
      <c r="H256" s="25" t="n"/>
      <c r="I256" s="18" t="n"/>
      <c r="J256" s="23" t="n"/>
      <c r="K256" s="18" t="n"/>
      <c r="L256" s="18" t="n"/>
      <c r="M256" s="24">
        <f>IFERROR(IF(G256="","",G256-TODAY()),"")</f>
        <v/>
      </c>
      <c r="N256" s="24">
        <f>IFERROR(IF(OR(I256="Cleared",I256="Cancelled",G256=""),"",IF(G256&lt;TODAY(),"OVERDUE",IF(G256&lt;=TODAY()+'Setup &amp; Lists'!$M$7,"DUE SOON",""))),"CHECK DATE")</f>
        <v/>
      </c>
      <c r="O256" s="18" t="n"/>
    </row>
    <row r="257">
      <c r="A257" s="18" t="n"/>
      <c r="B257" s="18" t="n"/>
      <c r="C257" s="18" t="n"/>
      <c r="D257" s="18" t="n"/>
      <c r="E257" s="18" t="n"/>
      <c r="F257" s="23" t="n"/>
      <c r="G257" s="23" t="n"/>
      <c r="H257" s="25" t="n"/>
      <c r="I257" s="18" t="n"/>
      <c r="J257" s="23" t="n"/>
      <c r="K257" s="18" t="n"/>
      <c r="L257" s="18" t="n"/>
      <c r="M257" s="24">
        <f>IFERROR(IF(G257="","",G257-TODAY()),"")</f>
        <v/>
      </c>
      <c r="N257" s="24">
        <f>IFERROR(IF(OR(I257="Cleared",I257="Cancelled",G257=""),"",IF(G257&lt;TODAY(),"OVERDUE",IF(G257&lt;=TODAY()+'Setup &amp; Lists'!$M$7,"DUE SOON",""))),"CHECK DATE")</f>
        <v/>
      </c>
      <c r="O257" s="18" t="n"/>
    </row>
    <row r="258">
      <c r="A258" s="18" t="n"/>
      <c r="B258" s="18" t="n"/>
      <c r="C258" s="18" t="n"/>
      <c r="D258" s="18" t="n"/>
      <c r="E258" s="18" t="n"/>
      <c r="F258" s="23" t="n"/>
      <c r="G258" s="23" t="n"/>
      <c r="H258" s="25" t="n"/>
      <c r="I258" s="18" t="n"/>
      <c r="J258" s="23" t="n"/>
      <c r="K258" s="18" t="n"/>
      <c r="L258" s="18" t="n"/>
      <c r="M258" s="24">
        <f>IFERROR(IF(G258="","",G258-TODAY()),"")</f>
        <v/>
      </c>
      <c r="N258" s="24">
        <f>IFERROR(IF(OR(I258="Cleared",I258="Cancelled",G258=""),"",IF(G258&lt;TODAY(),"OVERDUE",IF(G258&lt;=TODAY()+'Setup &amp; Lists'!$M$7,"DUE SOON",""))),"CHECK DATE")</f>
        <v/>
      </c>
      <c r="O258" s="18" t="n"/>
    </row>
    <row r="259">
      <c r="A259" s="18" t="n"/>
      <c r="B259" s="18" t="n"/>
      <c r="C259" s="18" t="n"/>
      <c r="D259" s="18" t="n"/>
      <c r="E259" s="18" t="n"/>
      <c r="F259" s="23" t="n"/>
      <c r="G259" s="23" t="n"/>
      <c r="H259" s="25" t="n"/>
      <c r="I259" s="18" t="n"/>
      <c r="J259" s="23" t="n"/>
      <c r="K259" s="18" t="n"/>
      <c r="L259" s="18" t="n"/>
      <c r="M259" s="24">
        <f>IFERROR(IF(G259="","",G259-TODAY()),"")</f>
        <v/>
      </c>
      <c r="N259" s="24">
        <f>IFERROR(IF(OR(I259="Cleared",I259="Cancelled",G259=""),"",IF(G259&lt;TODAY(),"OVERDUE",IF(G259&lt;=TODAY()+'Setup &amp; Lists'!$M$7,"DUE SOON",""))),"CHECK DATE")</f>
        <v/>
      </c>
      <c r="O259" s="18" t="n"/>
    </row>
    <row r="260">
      <c r="A260" s="18" t="n"/>
      <c r="B260" s="18" t="n"/>
      <c r="C260" s="18" t="n"/>
      <c r="D260" s="18" t="n"/>
      <c r="E260" s="18" t="n"/>
      <c r="F260" s="23" t="n"/>
      <c r="G260" s="23" t="n"/>
      <c r="H260" s="25" t="n"/>
      <c r="I260" s="18" t="n"/>
      <c r="J260" s="23" t="n"/>
      <c r="K260" s="18" t="n"/>
      <c r="L260" s="18" t="n"/>
      <c r="M260" s="24">
        <f>IFERROR(IF(G260="","",G260-TODAY()),"")</f>
        <v/>
      </c>
      <c r="N260" s="24">
        <f>IFERROR(IF(OR(I260="Cleared",I260="Cancelled",G260=""),"",IF(G260&lt;TODAY(),"OVERDUE",IF(G260&lt;=TODAY()+'Setup &amp; Lists'!$M$7,"DUE SOON",""))),"CHECK DATE")</f>
        <v/>
      </c>
      <c r="O260" s="18" t="n"/>
    </row>
    <row r="261">
      <c r="A261" s="18" t="n"/>
      <c r="B261" s="18" t="n"/>
      <c r="C261" s="18" t="n"/>
      <c r="D261" s="18" t="n"/>
      <c r="E261" s="18" t="n"/>
      <c r="F261" s="23" t="n"/>
      <c r="G261" s="23" t="n"/>
      <c r="H261" s="25" t="n"/>
      <c r="I261" s="18" t="n"/>
      <c r="J261" s="23" t="n"/>
      <c r="K261" s="18" t="n"/>
      <c r="L261" s="18" t="n"/>
      <c r="M261" s="24">
        <f>IFERROR(IF(G261="","",G261-TODAY()),"")</f>
        <v/>
      </c>
      <c r="N261" s="24">
        <f>IFERROR(IF(OR(I261="Cleared",I261="Cancelled",G261=""),"",IF(G261&lt;TODAY(),"OVERDUE",IF(G261&lt;=TODAY()+'Setup &amp; Lists'!$M$7,"DUE SOON",""))),"CHECK DATE")</f>
        <v/>
      </c>
      <c r="O261" s="18" t="n"/>
    </row>
    <row r="262">
      <c r="A262" s="18" t="n"/>
      <c r="B262" s="18" t="n"/>
      <c r="C262" s="18" t="n"/>
      <c r="D262" s="18" t="n"/>
      <c r="E262" s="18" t="n"/>
      <c r="F262" s="23" t="n"/>
      <c r="G262" s="23" t="n"/>
      <c r="H262" s="25" t="n"/>
      <c r="I262" s="18" t="n"/>
      <c r="J262" s="23" t="n"/>
      <c r="K262" s="18" t="n"/>
      <c r="L262" s="18" t="n"/>
      <c r="M262" s="24">
        <f>IFERROR(IF(G262="","",G262-TODAY()),"")</f>
        <v/>
      </c>
      <c r="N262" s="24">
        <f>IFERROR(IF(OR(I262="Cleared",I262="Cancelled",G262=""),"",IF(G262&lt;TODAY(),"OVERDUE",IF(G262&lt;=TODAY()+'Setup &amp; Lists'!$M$7,"DUE SOON",""))),"CHECK DATE")</f>
        <v/>
      </c>
      <c r="O262" s="18" t="n"/>
    </row>
    <row r="263">
      <c r="A263" s="18" t="n"/>
      <c r="B263" s="18" t="n"/>
      <c r="C263" s="18" t="n"/>
      <c r="D263" s="18" t="n"/>
      <c r="E263" s="18" t="n"/>
      <c r="F263" s="23" t="n"/>
      <c r="G263" s="23" t="n"/>
      <c r="H263" s="25" t="n"/>
      <c r="I263" s="18" t="n"/>
      <c r="J263" s="23" t="n"/>
      <c r="K263" s="18" t="n"/>
      <c r="L263" s="18" t="n"/>
      <c r="M263" s="24">
        <f>IFERROR(IF(G263="","",G263-TODAY()),"")</f>
        <v/>
      </c>
      <c r="N263" s="24">
        <f>IFERROR(IF(OR(I263="Cleared",I263="Cancelled",G263=""),"",IF(G263&lt;TODAY(),"OVERDUE",IF(G263&lt;=TODAY()+'Setup &amp; Lists'!$M$7,"DUE SOON",""))),"CHECK DATE")</f>
        <v/>
      </c>
      <c r="O263" s="18" t="n"/>
    </row>
    <row r="264">
      <c r="A264" s="18" t="n"/>
      <c r="B264" s="18" t="n"/>
      <c r="C264" s="18" t="n"/>
      <c r="D264" s="18" t="n"/>
      <c r="E264" s="18" t="n"/>
      <c r="F264" s="23" t="n"/>
      <c r="G264" s="23" t="n"/>
      <c r="H264" s="25" t="n"/>
      <c r="I264" s="18" t="n"/>
      <c r="J264" s="23" t="n"/>
      <c r="K264" s="18" t="n"/>
      <c r="L264" s="18" t="n"/>
      <c r="M264" s="24">
        <f>IFERROR(IF(G264="","",G264-TODAY()),"")</f>
        <v/>
      </c>
      <c r="N264" s="24">
        <f>IFERROR(IF(OR(I264="Cleared",I264="Cancelled",G264=""),"",IF(G264&lt;TODAY(),"OVERDUE",IF(G264&lt;=TODAY()+'Setup &amp; Lists'!$M$7,"DUE SOON",""))),"CHECK DATE")</f>
        <v/>
      </c>
      <c r="O264" s="18" t="n"/>
    </row>
    <row r="265">
      <c r="A265" s="18" t="n"/>
      <c r="B265" s="18" t="n"/>
      <c r="C265" s="18" t="n"/>
      <c r="D265" s="18" t="n"/>
      <c r="E265" s="18" t="n"/>
      <c r="F265" s="23" t="n"/>
      <c r="G265" s="23" t="n"/>
      <c r="H265" s="25" t="n"/>
      <c r="I265" s="18" t="n"/>
      <c r="J265" s="23" t="n"/>
      <c r="K265" s="18" t="n"/>
      <c r="L265" s="18" t="n"/>
      <c r="M265" s="24">
        <f>IFERROR(IF(G265="","",G265-TODAY()),"")</f>
        <v/>
      </c>
      <c r="N265" s="24">
        <f>IFERROR(IF(OR(I265="Cleared",I265="Cancelled",G265=""),"",IF(G265&lt;TODAY(),"OVERDUE",IF(G265&lt;=TODAY()+'Setup &amp; Lists'!$M$7,"DUE SOON",""))),"CHECK DATE")</f>
        <v/>
      </c>
      <c r="O265" s="18" t="n"/>
    </row>
    <row r="266">
      <c r="A266" s="18" t="n"/>
      <c r="B266" s="18" t="n"/>
      <c r="C266" s="18" t="n"/>
      <c r="D266" s="18" t="n"/>
      <c r="E266" s="18" t="n"/>
      <c r="F266" s="23" t="n"/>
      <c r="G266" s="23" t="n"/>
      <c r="H266" s="25" t="n"/>
      <c r="I266" s="18" t="n"/>
      <c r="J266" s="23" t="n"/>
      <c r="K266" s="18" t="n"/>
      <c r="L266" s="18" t="n"/>
      <c r="M266" s="24">
        <f>IFERROR(IF(G266="","",G266-TODAY()),"")</f>
        <v/>
      </c>
      <c r="N266" s="24">
        <f>IFERROR(IF(OR(I266="Cleared",I266="Cancelled",G266=""),"",IF(G266&lt;TODAY(),"OVERDUE",IF(G266&lt;=TODAY()+'Setup &amp; Lists'!$M$7,"DUE SOON",""))),"CHECK DATE")</f>
        <v/>
      </c>
      <c r="O266" s="18" t="n"/>
    </row>
    <row r="267">
      <c r="A267" s="18" t="n"/>
      <c r="B267" s="18" t="n"/>
      <c r="C267" s="18" t="n"/>
      <c r="D267" s="18" t="n"/>
      <c r="E267" s="18" t="n"/>
      <c r="F267" s="23" t="n"/>
      <c r="G267" s="23" t="n"/>
      <c r="H267" s="25" t="n"/>
      <c r="I267" s="18" t="n"/>
      <c r="J267" s="23" t="n"/>
      <c r="K267" s="18" t="n"/>
      <c r="L267" s="18" t="n"/>
      <c r="M267" s="24">
        <f>IFERROR(IF(G267="","",G267-TODAY()),"")</f>
        <v/>
      </c>
      <c r="N267" s="24">
        <f>IFERROR(IF(OR(I267="Cleared",I267="Cancelled",G267=""),"",IF(G267&lt;TODAY(),"OVERDUE",IF(G267&lt;=TODAY()+'Setup &amp; Lists'!$M$7,"DUE SOON",""))),"CHECK DATE")</f>
        <v/>
      </c>
      <c r="O267" s="18" t="n"/>
    </row>
    <row r="268">
      <c r="A268" s="18" t="n"/>
      <c r="B268" s="18" t="n"/>
      <c r="C268" s="18" t="n"/>
      <c r="D268" s="18" t="n"/>
      <c r="E268" s="18" t="n"/>
      <c r="F268" s="23" t="n"/>
      <c r="G268" s="23" t="n"/>
      <c r="H268" s="25" t="n"/>
      <c r="I268" s="18" t="n"/>
      <c r="J268" s="23" t="n"/>
      <c r="K268" s="18" t="n"/>
      <c r="L268" s="18" t="n"/>
      <c r="M268" s="24">
        <f>IFERROR(IF(G268="","",G268-TODAY()),"")</f>
        <v/>
      </c>
      <c r="N268" s="24">
        <f>IFERROR(IF(OR(I268="Cleared",I268="Cancelled",G268=""),"",IF(G268&lt;TODAY(),"OVERDUE",IF(G268&lt;=TODAY()+'Setup &amp; Lists'!$M$7,"DUE SOON",""))),"CHECK DATE")</f>
        <v/>
      </c>
      <c r="O268" s="18" t="n"/>
    </row>
    <row r="269">
      <c r="A269" s="18" t="n"/>
      <c r="B269" s="18" t="n"/>
      <c r="C269" s="18" t="n"/>
      <c r="D269" s="18" t="n"/>
      <c r="E269" s="18" t="n"/>
      <c r="F269" s="23" t="n"/>
      <c r="G269" s="23" t="n"/>
      <c r="H269" s="25" t="n"/>
      <c r="I269" s="18" t="n"/>
      <c r="J269" s="23" t="n"/>
      <c r="K269" s="18" t="n"/>
      <c r="L269" s="18" t="n"/>
      <c r="M269" s="24">
        <f>IFERROR(IF(G269="","",G269-TODAY()),"")</f>
        <v/>
      </c>
      <c r="N269" s="24">
        <f>IFERROR(IF(OR(I269="Cleared",I269="Cancelled",G269=""),"",IF(G269&lt;TODAY(),"OVERDUE",IF(G269&lt;=TODAY()+'Setup &amp; Lists'!$M$7,"DUE SOON",""))),"CHECK DATE")</f>
        <v/>
      </c>
      <c r="O269" s="18" t="n"/>
    </row>
    <row r="270">
      <c r="A270" s="18" t="n"/>
      <c r="B270" s="18" t="n"/>
      <c r="C270" s="18" t="n"/>
      <c r="D270" s="18" t="n"/>
      <c r="E270" s="18" t="n"/>
      <c r="F270" s="23" t="n"/>
      <c r="G270" s="23" t="n"/>
      <c r="H270" s="25" t="n"/>
      <c r="I270" s="18" t="n"/>
      <c r="J270" s="23" t="n"/>
      <c r="K270" s="18" t="n"/>
      <c r="L270" s="18" t="n"/>
      <c r="M270" s="24">
        <f>IFERROR(IF(G270="","",G270-TODAY()),"")</f>
        <v/>
      </c>
      <c r="N270" s="24">
        <f>IFERROR(IF(OR(I270="Cleared",I270="Cancelled",G270=""),"",IF(G270&lt;TODAY(),"OVERDUE",IF(G270&lt;=TODAY()+'Setup &amp; Lists'!$M$7,"DUE SOON",""))),"CHECK DATE")</f>
        <v/>
      </c>
      <c r="O270" s="18" t="n"/>
    </row>
    <row r="271">
      <c r="A271" s="18" t="n"/>
      <c r="B271" s="18" t="n"/>
      <c r="C271" s="18" t="n"/>
      <c r="D271" s="18" t="n"/>
      <c r="E271" s="18" t="n"/>
      <c r="F271" s="23" t="n"/>
      <c r="G271" s="23" t="n"/>
      <c r="H271" s="25" t="n"/>
      <c r="I271" s="18" t="n"/>
      <c r="J271" s="23" t="n"/>
      <c r="K271" s="18" t="n"/>
      <c r="L271" s="18" t="n"/>
      <c r="M271" s="24">
        <f>IFERROR(IF(G271="","",G271-TODAY()),"")</f>
        <v/>
      </c>
      <c r="N271" s="24">
        <f>IFERROR(IF(OR(I271="Cleared",I271="Cancelled",G271=""),"",IF(G271&lt;TODAY(),"OVERDUE",IF(G271&lt;=TODAY()+'Setup &amp; Lists'!$M$7,"DUE SOON",""))),"CHECK DATE")</f>
        <v/>
      </c>
      <c r="O271" s="18" t="n"/>
    </row>
    <row r="272">
      <c r="A272" s="18" t="n"/>
      <c r="B272" s="18" t="n"/>
      <c r="C272" s="18" t="n"/>
      <c r="D272" s="18" t="n"/>
      <c r="E272" s="18" t="n"/>
      <c r="F272" s="23" t="n"/>
      <c r="G272" s="23" t="n"/>
      <c r="H272" s="25" t="n"/>
      <c r="I272" s="18" t="n"/>
      <c r="J272" s="23" t="n"/>
      <c r="K272" s="18" t="n"/>
      <c r="L272" s="18" t="n"/>
      <c r="M272" s="24">
        <f>IFERROR(IF(G272="","",G272-TODAY()),"")</f>
        <v/>
      </c>
      <c r="N272" s="24">
        <f>IFERROR(IF(OR(I272="Cleared",I272="Cancelled",G272=""),"",IF(G272&lt;TODAY(),"OVERDUE",IF(G272&lt;=TODAY()+'Setup &amp; Lists'!$M$7,"DUE SOON",""))),"CHECK DATE")</f>
        <v/>
      </c>
      <c r="O272" s="18" t="n"/>
    </row>
    <row r="273">
      <c r="A273" s="18" t="n"/>
      <c r="B273" s="18" t="n"/>
      <c r="C273" s="18" t="n"/>
      <c r="D273" s="18" t="n"/>
      <c r="E273" s="18" t="n"/>
      <c r="F273" s="23" t="n"/>
      <c r="G273" s="23" t="n"/>
      <c r="H273" s="25" t="n"/>
      <c r="I273" s="18" t="n"/>
      <c r="J273" s="23" t="n"/>
      <c r="K273" s="18" t="n"/>
      <c r="L273" s="18" t="n"/>
      <c r="M273" s="24">
        <f>IFERROR(IF(G273="","",G273-TODAY()),"")</f>
        <v/>
      </c>
      <c r="N273" s="24">
        <f>IFERROR(IF(OR(I273="Cleared",I273="Cancelled",G273=""),"",IF(G273&lt;TODAY(),"OVERDUE",IF(G273&lt;=TODAY()+'Setup &amp; Lists'!$M$7,"DUE SOON",""))),"CHECK DATE")</f>
        <v/>
      </c>
      <c r="O273" s="18" t="n"/>
    </row>
    <row r="274">
      <c r="A274" s="18" t="n"/>
      <c r="B274" s="18" t="n"/>
      <c r="C274" s="18" t="n"/>
      <c r="D274" s="18" t="n"/>
      <c r="E274" s="18" t="n"/>
      <c r="F274" s="23" t="n"/>
      <c r="G274" s="23" t="n"/>
      <c r="H274" s="25" t="n"/>
      <c r="I274" s="18" t="n"/>
      <c r="J274" s="23" t="n"/>
      <c r="K274" s="18" t="n"/>
      <c r="L274" s="18" t="n"/>
      <c r="M274" s="24">
        <f>IFERROR(IF(G274="","",G274-TODAY()),"")</f>
        <v/>
      </c>
      <c r="N274" s="24">
        <f>IFERROR(IF(OR(I274="Cleared",I274="Cancelled",G274=""),"",IF(G274&lt;TODAY(),"OVERDUE",IF(G274&lt;=TODAY()+'Setup &amp; Lists'!$M$7,"DUE SOON",""))),"CHECK DATE")</f>
        <v/>
      </c>
      <c r="O274" s="18" t="n"/>
    </row>
    <row r="275">
      <c r="A275" s="18" t="n"/>
      <c r="B275" s="18" t="n"/>
      <c r="C275" s="18" t="n"/>
      <c r="D275" s="18" t="n"/>
      <c r="E275" s="18" t="n"/>
      <c r="F275" s="23" t="n"/>
      <c r="G275" s="23" t="n"/>
      <c r="H275" s="25" t="n"/>
      <c r="I275" s="18" t="n"/>
      <c r="J275" s="23" t="n"/>
      <c r="K275" s="18" t="n"/>
      <c r="L275" s="18" t="n"/>
      <c r="M275" s="24">
        <f>IFERROR(IF(G275="","",G275-TODAY()),"")</f>
        <v/>
      </c>
      <c r="N275" s="24">
        <f>IFERROR(IF(OR(I275="Cleared",I275="Cancelled",G275=""),"",IF(G275&lt;TODAY(),"OVERDUE",IF(G275&lt;=TODAY()+'Setup &amp; Lists'!$M$7,"DUE SOON",""))),"CHECK DATE")</f>
        <v/>
      </c>
      <c r="O275" s="18" t="n"/>
    </row>
    <row r="276">
      <c r="A276" s="18" t="n"/>
      <c r="B276" s="18" t="n"/>
      <c r="C276" s="18" t="n"/>
      <c r="D276" s="18" t="n"/>
      <c r="E276" s="18" t="n"/>
      <c r="F276" s="23" t="n"/>
      <c r="G276" s="23" t="n"/>
      <c r="H276" s="25" t="n"/>
      <c r="I276" s="18" t="n"/>
      <c r="J276" s="23" t="n"/>
      <c r="K276" s="18" t="n"/>
      <c r="L276" s="18" t="n"/>
      <c r="M276" s="24">
        <f>IFERROR(IF(G276="","",G276-TODAY()),"")</f>
        <v/>
      </c>
      <c r="N276" s="24">
        <f>IFERROR(IF(OR(I276="Cleared",I276="Cancelled",G276=""),"",IF(G276&lt;TODAY(),"OVERDUE",IF(G276&lt;=TODAY()+'Setup &amp; Lists'!$M$7,"DUE SOON",""))),"CHECK DATE")</f>
        <v/>
      </c>
      <c r="O276" s="18" t="n"/>
    </row>
    <row r="277">
      <c r="A277" s="18" t="n"/>
      <c r="B277" s="18" t="n"/>
      <c r="C277" s="18" t="n"/>
      <c r="D277" s="18" t="n"/>
      <c r="E277" s="18" t="n"/>
      <c r="F277" s="23" t="n"/>
      <c r="G277" s="23" t="n"/>
      <c r="H277" s="25" t="n"/>
      <c r="I277" s="18" t="n"/>
      <c r="J277" s="23" t="n"/>
      <c r="K277" s="18" t="n"/>
      <c r="L277" s="18" t="n"/>
      <c r="M277" s="24">
        <f>IFERROR(IF(G277="","",G277-TODAY()),"")</f>
        <v/>
      </c>
      <c r="N277" s="24">
        <f>IFERROR(IF(OR(I277="Cleared",I277="Cancelled",G277=""),"",IF(G277&lt;TODAY(),"OVERDUE",IF(G277&lt;=TODAY()+'Setup &amp; Lists'!$M$7,"DUE SOON",""))),"CHECK DATE")</f>
        <v/>
      </c>
      <c r="O277" s="18" t="n"/>
    </row>
    <row r="278">
      <c r="A278" s="18" t="n"/>
      <c r="B278" s="18" t="n"/>
      <c r="C278" s="18" t="n"/>
      <c r="D278" s="18" t="n"/>
      <c r="E278" s="18" t="n"/>
      <c r="F278" s="23" t="n"/>
      <c r="G278" s="23" t="n"/>
      <c r="H278" s="25" t="n"/>
      <c r="I278" s="18" t="n"/>
      <c r="J278" s="23" t="n"/>
      <c r="K278" s="18" t="n"/>
      <c r="L278" s="18" t="n"/>
      <c r="M278" s="24">
        <f>IFERROR(IF(G278="","",G278-TODAY()),"")</f>
        <v/>
      </c>
      <c r="N278" s="24">
        <f>IFERROR(IF(OR(I278="Cleared",I278="Cancelled",G278=""),"",IF(G278&lt;TODAY(),"OVERDUE",IF(G278&lt;=TODAY()+'Setup &amp; Lists'!$M$7,"DUE SOON",""))),"CHECK DATE")</f>
        <v/>
      </c>
      <c r="O278" s="18" t="n"/>
    </row>
    <row r="279">
      <c r="A279" s="18" t="n"/>
      <c r="B279" s="18" t="n"/>
      <c r="C279" s="18" t="n"/>
      <c r="D279" s="18" t="n"/>
      <c r="E279" s="18" t="n"/>
      <c r="F279" s="23" t="n"/>
      <c r="G279" s="23" t="n"/>
      <c r="H279" s="25" t="n"/>
      <c r="I279" s="18" t="n"/>
      <c r="J279" s="23" t="n"/>
      <c r="K279" s="18" t="n"/>
      <c r="L279" s="18" t="n"/>
      <c r="M279" s="24">
        <f>IFERROR(IF(G279="","",G279-TODAY()),"")</f>
        <v/>
      </c>
      <c r="N279" s="24">
        <f>IFERROR(IF(OR(I279="Cleared",I279="Cancelled",G279=""),"",IF(G279&lt;TODAY(),"OVERDUE",IF(G279&lt;=TODAY()+'Setup &amp; Lists'!$M$7,"DUE SOON",""))),"CHECK DATE")</f>
        <v/>
      </c>
      <c r="O279" s="18" t="n"/>
    </row>
    <row r="280">
      <c r="A280" s="18" t="n"/>
      <c r="B280" s="18" t="n"/>
      <c r="C280" s="18" t="n"/>
      <c r="D280" s="18" t="n"/>
      <c r="E280" s="18" t="n"/>
      <c r="F280" s="23" t="n"/>
      <c r="G280" s="23" t="n"/>
      <c r="H280" s="25" t="n"/>
      <c r="I280" s="18" t="n"/>
      <c r="J280" s="23" t="n"/>
      <c r="K280" s="18" t="n"/>
      <c r="L280" s="18" t="n"/>
      <c r="M280" s="24">
        <f>IFERROR(IF(G280="","",G280-TODAY()),"")</f>
        <v/>
      </c>
      <c r="N280" s="24">
        <f>IFERROR(IF(OR(I280="Cleared",I280="Cancelled",G280=""),"",IF(G280&lt;TODAY(),"OVERDUE",IF(G280&lt;=TODAY()+'Setup &amp; Lists'!$M$7,"DUE SOON",""))),"CHECK DATE")</f>
        <v/>
      </c>
      <c r="O280" s="18" t="n"/>
    </row>
    <row r="281">
      <c r="A281" s="18" t="n"/>
      <c r="B281" s="18" t="n"/>
      <c r="C281" s="18" t="n"/>
      <c r="D281" s="18" t="n"/>
      <c r="E281" s="18" t="n"/>
      <c r="F281" s="23" t="n"/>
      <c r="G281" s="23" t="n"/>
      <c r="H281" s="25" t="n"/>
      <c r="I281" s="18" t="n"/>
      <c r="J281" s="23" t="n"/>
      <c r="K281" s="18" t="n"/>
      <c r="L281" s="18" t="n"/>
      <c r="M281" s="24">
        <f>IFERROR(IF(G281="","",G281-TODAY()),"")</f>
        <v/>
      </c>
      <c r="N281" s="24">
        <f>IFERROR(IF(OR(I281="Cleared",I281="Cancelled",G281=""),"",IF(G281&lt;TODAY(),"OVERDUE",IF(G281&lt;=TODAY()+'Setup &amp; Lists'!$M$7,"DUE SOON",""))),"CHECK DATE")</f>
        <v/>
      </c>
      <c r="O281" s="18" t="n"/>
    </row>
    <row r="282">
      <c r="A282" s="18" t="n"/>
      <c r="B282" s="18" t="n"/>
      <c r="C282" s="18" t="n"/>
      <c r="D282" s="18" t="n"/>
      <c r="E282" s="18" t="n"/>
      <c r="F282" s="23" t="n"/>
      <c r="G282" s="23" t="n"/>
      <c r="H282" s="25" t="n"/>
      <c r="I282" s="18" t="n"/>
      <c r="J282" s="23" t="n"/>
      <c r="K282" s="18" t="n"/>
      <c r="L282" s="18" t="n"/>
      <c r="M282" s="24">
        <f>IFERROR(IF(G282="","",G282-TODAY()),"")</f>
        <v/>
      </c>
      <c r="N282" s="24">
        <f>IFERROR(IF(OR(I282="Cleared",I282="Cancelled",G282=""),"",IF(G282&lt;TODAY(),"OVERDUE",IF(G282&lt;=TODAY()+'Setup &amp; Lists'!$M$7,"DUE SOON",""))),"CHECK DATE")</f>
        <v/>
      </c>
      <c r="O282" s="18" t="n"/>
    </row>
    <row r="283">
      <c r="A283" s="18" t="n"/>
      <c r="B283" s="18" t="n"/>
      <c r="C283" s="18" t="n"/>
      <c r="D283" s="18" t="n"/>
      <c r="E283" s="18" t="n"/>
      <c r="F283" s="23" t="n"/>
      <c r="G283" s="23" t="n"/>
      <c r="H283" s="25" t="n"/>
      <c r="I283" s="18" t="n"/>
      <c r="J283" s="23" t="n"/>
      <c r="K283" s="18" t="n"/>
      <c r="L283" s="18" t="n"/>
      <c r="M283" s="24">
        <f>IFERROR(IF(G283="","",G283-TODAY()),"")</f>
        <v/>
      </c>
      <c r="N283" s="24">
        <f>IFERROR(IF(OR(I283="Cleared",I283="Cancelled",G283=""),"",IF(G283&lt;TODAY(),"OVERDUE",IF(G283&lt;=TODAY()+'Setup &amp; Lists'!$M$7,"DUE SOON",""))),"CHECK DATE")</f>
        <v/>
      </c>
      <c r="O283" s="18" t="n"/>
    </row>
    <row r="284">
      <c r="A284" s="18" t="n"/>
      <c r="B284" s="18" t="n"/>
      <c r="C284" s="18" t="n"/>
      <c r="D284" s="18" t="n"/>
      <c r="E284" s="18" t="n"/>
      <c r="F284" s="23" t="n"/>
      <c r="G284" s="23" t="n"/>
      <c r="H284" s="25" t="n"/>
      <c r="I284" s="18" t="n"/>
      <c r="J284" s="23" t="n"/>
      <c r="K284" s="18" t="n"/>
      <c r="L284" s="18" t="n"/>
      <c r="M284" s="24">
        <f>IFERROR(IF(G284="","",G284-TODAY()),"")</f>
        <v/>
      </c>
      <c r="N284" s="24">
        <f>IFERROR(IF(OR(I284="Cleared",I284="Cancelled",G284=""),"",IF(G284&lt;TODAY(),"OVERDUE",IF(G284&lt;=TODAY()+'Setup &amp; Lists'!$M$7,"DUE SOON",""))),"CHECK DATE")</f>
        <v/>
      </c>
      <c r="O284" s="18" t="n"/>
    </row>
    <row r="285">
      <c r="A285" s="18" t="n"/>
      <c r="B285" s="18" t="n"/>
      <c r="C285" s="18" t="n"/>
      <c r="D285" s="18" t="n"/>
      <c r="E285" s="18" t="n"/>
      <c r="F285" s="23" t="n"/>
      <c r="G285" s="23" t="n"/>
      <c r="H285" s="25" t="n"/>
      <c r="I285" s="18" t="n"/>
      <c r="J285" s="23" t="n"/>
      <c r="K285" s="18" t="n"/>
      <c r="L285" s="18" t="n"/>
      <c r="M285" s="24">
        <f>IFERROR(IF(G285="","",G285-TODAY()),"")</f>
        <v/>
      </c>
      <c r="N285" s="24">
        <f>IFERROR(IF(OR(I285="Cleared",I285="Cancelled",G285=""),"",IF(G285&lt;TODAY(),"OVERDUE",IF(G285&lt;=TODAY()+'Setup &amp; Lists'!$M$7,"DUE SOON",""))),"CHECK DATE")</f>
        <v/>
      </c>
      <c r="O285" s="18" t="n"/>
    </row>
    <row r="286">
      <c r="A286" s="18" t="n"/>
      <c r="B286" s="18" t="n"/>
      <c r="C286" s="18" t="n"/>
      <c r="D286" s="18" t="n"/>
      <c r="E286" s="18" t="n"/>
      <c r="F286" s="23" t="n"/>
      <c r="G286" s="23" t="n"/>
      <c r="H286" s="25" t="n"/>
      <c r="I286" s="18" t="n"/>
      <c r="J286" s="23" t="n"/>
      <c r="K286" s="18" t="n"/>
      <c r="L286" s="18" t="n"/>
      <c r="M286" s="24">
        <f>IFERROR(IF(G286="","",G286-TODAY()),"")</f>
        <v/>
      </c>
      <c r="N286" s="24">
        <f>IFERROR(IF(OR(I286="Cleared",I286="Cancelled",G286=""),"",IF(G286&lt;TODAY(),"OVERDUE",IF(G286&lt;=TODAY()+'Setup &amp; Lists'!$M$7,"DUE SOON",""))),"CHECK DATE")</f>
        <v/>
      </c>
      <c r="O286" s="18" t="n"/>
    </row>
    <row r="287">
      <c r="A287" s="18" t="n"/>
      <c r="B287" s="18" t="n"/>
      <c r="C287" s="18" t="n"/>
      <c r="D287" s="18" t="n"/>
      <c r="E287" s="18" t="n"/>
      <c r="F287" s="23" t="n"/>
      <c r="G287" s="23" t="n"/>
      <c r="H287" s="25" t="n"/>
      <c r="I287" s="18" t="n"/>
      <c r="J287" s="23" t="n"/>
      <c r="K287" s="18" t="n"/>
      <c r="L287" s="18" t="n"/>
      <c r="M287" s="24">
        <f>IFERROR(IF(G287="","",G287-TODAY()),"")</f>
        <v/>
      </c>
      <c r="N287" s="24">
        <f>IFERROR(IF(OR(I287="Cleared",I287="Cancelled",G287=""),"",IF(G287&lt;TODAY(),"OVERDUE",IF(G287&lt;=TODAY()+'Setup &amp; Lists'!$M$7,"DUE SOON",""))),"CHECK DATE")</f>
        <v/>
      </c>
      <c r="O287" s="18" t="n"/>
    </row>
    <row r="288">
      <c r="A288" s="18" t="n"/>
      <c r="B288" s="18" t="n"/>
      <c r="C288" s="18" t="n"/>
      <c r="D288" s="18" t="n"/>
      <c r="E288" s="18" t="n"/>
      <c r="F288" s="23" t="n"/>
      <c r="G288" s="23" t="n"/>
      <c r="H288" s="25" t="n"/>
      <c r="I288" s="18" t="n"/>
      <c r="J288" s="23" t="n"/>
      <c r="K288" s="18" t="n"/>
      <c r="L288" s="18" t="n"/>
      <c r="M288" s="24">
        <f>IFERROR(IF(G288="","",G288-TODAY()),"")</f>
        <v/>
      </c>
      <c r="N288" s="24">
        <f>IFERROR(IF(OR(I288="Cleared",I288="Cancelled",G288=""),"",IF(G288&lt;TODAY(),"OVERDUE",IF(G288&lt;=TODAY()+'Setup &amp; Lists'!$M$7,"DUE SOON",""))),"CHECK DATE")</f>
        <v/>
      </c>
      <c r="O288" s="18" t="n"/>
    </row>
    <row r="289">
      <c r="A289" s="18" t="n"/>
      <c r="B289" s="18" t="n"/>
      <c r="C289" s="18" t="n"/>
      <c r="D289" s="18" t="n"/>
      <c r="E289" s="18" t="n"/>
      <c r="F289" s="23" t="n"/>
      <c r="G289" s="23" t="n"/>
      <c r="H289" s="25" t="n"/>
      <c r="I289" s="18" t="n"/>
      <c r="J289" s="23" t="n"/>
      <c r="K289" s="18" t="n"/>
      <c r="L289" s="18" t="n"/>
      <c r="M289" s="24">
        <f>IFERROR(IF(G289="","",G289-TODAY()),"")</f>
        <v/>
      </c>
      <c r="N289" s="24">
        <f>IFERROR(IF(OR(I289="Cleared",I289="Cancelled",G289=""),"",IF(G289&lt;TODAY(),"OVERDUE",IF(G289&lt;=TODAY()+'Setup &amp; Lists'!$M$7,"DUE SOON",""))),"CHECK DATE")</f>
        <v/>
      </c>
      <c r="O289" s="18" t="n"/>
    </row>
    <row r="290">
      <c r="A290" s="18" t="n"/>
      <c r="B290" s="18" t="n"/>
      <c r="C290" s="18" t="n"/>
      <c r="D290" s="18" t="n"/>
      <c r="E290" s="18" t="n"/>
      <c r="F290" s="23" t="n"/>
      <c r="G290" s="23" t="n"/>
      <c r="H290" s="25" t="n"/>
      <c r="I290" s="18" t="n"/>
      <c r="J290" s="23" t="n"/>
      <c r="K290" s="18" t="n"/>
      <c r="L290" s="18" t="n"/>
      <c r="M290" s="24">
        <f>IFERROR(IF(G290="","",G290-TODAY()),"")</f>
        <v/>
      </c>
      <c r="N290" s="24">
        <f>IFERROR(IF(OR(I290="Cleared",I290="Cancelled",G290=""),"",IF(G290&lt;TODAY(),"OVERDUE",IF(G290&lt;=TODAY()+'Setup &amp; Lists'!$M$7,"DUE SOON",""))),"CHECK DATE")</f>
        <v/>
      </c>
      <c r="O290" s="18" t="n"/>
    </row>
    <row r="291">
      <c r="A291" s="18" t="n"/>
      <c r="B291" s="18" t="n"/>
      <c r="C291" s="18" t="n"/>
      <c r="D291" s="18" t="n"/>
      <c r="E291" s="18" t="n"/>
      <c r="F291" s="23" t="n"/>
      <c r="G291" s="23" t="n"/>
      <c r="H291" s="25" t="n"/>
      <c r="I291" s="18" t="n"/>
      <c r="J291" s="23" t="n"/>
      <c r="K291" s="18" t="n"/>
      <c r="L291" s="18" t="n"/>
      <c r="M291" s="24">
        <f>IFERROR(IF(G291="","",G291-TODAY()),"")</f>
        <v/>
      </c>
      <c r="N291" s="24">
        <f>IFERROR(IF(OR(I291="Cleared",I291="Cancelled",G291=""),"",IF(G291&lt;TODAY(),"OVERDUE",IF(G291&lt;=TODAY()+'Setup &amp; Lists'!$M$7,"DUE SOON",""))),"CHECK DATE")</f>
        <v/>
      </c>
      <c r="O291" s="18" t="n"/>
    </row>
    <row r="292">
      <c r="A292" s="18" t="n"/>
      <c r="B292" s="18" t="n"/>
      <c r="C292" s="18" t="n"/>
      <c r="D292" s="18" t="n"/>
      <c r="E292" s="18" t="n"/>
      <c r="F292" s="23" t="n"/>
      <c r="G292" s="23" t="n"/>
      <c r="H292" s="25" t="n"/>
      <c r="I292" s="18" t="n"/>
      <c r="J292" s="23" t="n"/>
      <c r="K292" s="18" t="n"/>
      <c r="L292" s="18" t="n"/>
      <c r="M292" s="24">
        <f>IFERROR(IF(G292="","",G292-TODAY()),"")</f>
        <v/>
      </c>
      <c r="N292" s="24">
        <f>IFERROR(IF(OR(I292="Cleared",I292="Cancelled",G292=""),"",IF(G292&lt;TODAY(),"OVERDUE",IF(G292&lt;=TODAY()+'Setup &amp; Lists'!$M$7,"DUE SOON",""))),"CHECK DATE")</f>
        <v/>
      </c>
      <c r="O292" s="18" t="n"/>
    </row>
    <row r="293">
      <c r="A293" s="18" t="n"/>
      <c r="B293" s="18" t="n"/>
      <c r="C293" s="18" t="n"/>
      <c r="D293" s="18" t="n"/>
      <c r="E293" s="18" t="n"/>
      <c r="F293" s="23" t="n"/>
      <c r="G293" s="23" t="n"/>
      <c r="H293" s="25" t="n"/>
      <c r="I293" s="18" t="n"/>
      <c r="J293" s="23" t="n"/>
      <c r="K293" s="18" t="n"/>
      <c r="L293" s="18" t="n"/>
      <c r="M293" s="24">
        <f>IFERROR(IF(G293="","",G293-TODAY()),"")</f>
        <v/>
      </c>
      <c r="N293" s="24">
        <f>IFERROR(IF(OR(I293="Cleared",I293="Cancelled",G293=""),"",IF(G293&lt;TODAY(),"OVERDUE",IF(G293&lt;=TODAY()+'Setup &amp; Lists'!$M$7,"DUE SOON",""))),"CHECK DATE")</f>
        <v/>
      </c>
      <c r="O293" s="18" t="n"/>
    </row>
    <row r="294">
      <c r="A294" s="18" t="n"/>
      <c r="B294" s="18" t="n"/>
      <c r="C294" s="18" t="n"/>
      <c r="D294" s="18" t="n"/>
      <c r="E294" s="18" t="n"/>
      <c r="F294" s="23" t="n"/>
      <c r="G294" s="23" t="n"/>
      <c r="H294" s="25" t="n"/>
      <c r="I294" s="18" t="n"/>
      <c r="J294" s="23" t="n"/>
      <c r="K294" s="18" t="n"/>
      <c r="L294" s="18" t="n"/>
      <c r="M294" s="24">
        <f>IFERROR(IF(G294="","",G294-TODAY()),"")</f>
        <v/>
      </c>
      <c r="N294" s="24">
        <f>IFERROR(IF(OR(I294="Cleared",I294="Cancelled",G294=""),"",IF(G294&lt;TODAY(),"OVERDUE",IF(G294&lt;=TODAY()+'Setup &amp; Lists'!$M$7,"DUE SOON",""))),"CHECK DATE")</f>
        <v/>
      </c>
      <c r="O294" s="18" t="n"/>
    </row>
    <row r="295">
      <c r="A295" s="18" t="n"/>
      <c r="B295" s="18" t="n"/>
      <c r="C295" s="18" t="n"/>
      <c r="D295" s="18" t="n"/>
      <c r="E295" s="18" t="n"/>
      <c r="F295" s="23" t="n"/>
      <c r="G295" s="23" t="n"/>
      <c r="H295" s="25" t="n"/>
      <c r="I295" s="18" t="n"/>
      <c r="J295" s="23" t="n"/>
      <c r="K295" s="18" t="n"/>
      <c r="L295" s="18" t="n"/>
      <c r="M295" s="24">
        <f>IFERROR(IF(G295="","",G295-TODAY()),"")</f>
        <v/>
      </c>
      <c r="N295" s="24">
        <f>IFERROR(IF(OR(I295="Cleared",I295="Cancelled",G295=""),"",IF(G295&lt;TODAY(),"OVERDUE",IF(G295&lt;=TODAY()+'Setup &amp; Lists'!$M$7,"DUE SOON",""))),"CHECK DATE")</f>
        <v/>
      </c>
      <c r="O295" s="18" t="n"/>
    </row>
    <row r="296">
      <c r="A296" s="18" t="n"/>
      <c r="B296" s="18" t="n"/>
      <c r="C296" s="18" t="n"/>
      <c r="D296" s="18" t="n"/>
      <c r="E296" s="18" t="n"/>
      <c r="F296" s="23" t="n"/>
      <c r="G296" s="23" t="n"/>
      <c r="H296" s="25" t="n"/>
      <c r="I296" s="18" t="n"/>
      <c r="J296" s="23" t="n"/>
      <c r="K296" s="18" t="n"/>
      <c r="L296" s="18" t="n"/>
      <c r="M296" s="24">
        <f>IFERROR(IF(G296="","",G296-TODAY()),"")</f>
        <v/>
      </c>
      <c r="N296" s="24">
        <f>IFERROR(IF(OR(I296="Cleared",I296="Cancelled",G296=""),"",IF(G296&lt;TODAY(),"OVERDUE",IF(G296&lt;=TODAY()+'Setup &amp; Lists'!$M$7,"DUE SOON",""))),"CHECK DATE")</f>
        <v/>
      </c>
      <c r="O296" s="18" t="n"/>
    </row>
    <row r="297">
      <c r="A297" s="18" t="n"/>
      <c r="B297" s="18" t="n"/>
      <c r="C297" s="18" t="n"/>
      <c r="D297" s="18" t="n"/>
      <c r="E297" s="18" t="n"/>
      <c r="F297" s="23" t="n"/>
      <c r="G297" s="23" t="n"/>
      <c r="H297" s="25" t="n"/>
      <c r="I297" s="18" t="n"/>
      <c r="J297" s="23" t="n"/>
      <c r="K297" s="18" t="n"/>
      <c r="L297" s="18" t="n"/>
      <c r="M297" s="24">
        <f>IFERROR(IF(G297="","",G297-TODAY()),"")</f>
        <v/>
      </c>
      <c r="N297" s="24">
        <f>IFERROR(IF(OR(I297="Cleared",I297="Cancelled",G297=""),"",IF(G297&lt;TODAY(),"OVERDUE",IF(G297&lt;=TODAY()+'Setup &amp; Lists'!$M$7,"DUE SOON",""))),"CHECK DATE")</f>
        <v/>
      </c>
      <c r="O297" s="18" t="n"/>
    </row>
    <row r="298">
      <c r="A298" s="18" t="n"/>
      <c r="B298" s="18" t="n"/>
      <c r="C298" s="18" t="n"/>
      <c r="D298" s="18" t="n"/>
      <c r="E298" s="18" t="n"/>
      <c r="F298" s="23" t="n"/>
      <c r="G298" s="23" t="n"/>
      <c r="H298" s="25" t="n"/>
      <c r="I298" s="18" t="n"/>
      <c r="J298" s="23" t="n"/>
      <c r="K298" s="18" t="n"/>
      <c r="L298" s="18" t="n"/>
      <c r="M298" s="24">
        <f>IFERROR(IF(G298="","",G298-TODAY()),"")</f>
        <v/>
      </c>
      <c r="N298" s="24">
        <f>IFERROR(IF(OR(I298="Cleared",I298="Cancelled",G298=""),"",IF(G298&lt;TODAY(),"OVERDUE",IF(G298&lt;=TODAY()+'Setup &amp; Lists'!$M$7,"DUE SOON",""))),"CHECK DATE")</f>
        <v/>
      </c>
      <c r="O298" s="18" t="n"/>
    </row>
    <row r="299">
      <c r="A299" s="18" t="n"/>
      <c r="B299" s="18" t="n"/>
      <c r="C299" s="18" t="n"/>
      <c r="D299" s="18" t="n"/>
      <c r="E299" s="18" t="n"/>
      <c r="F299" s="23" t="n"/>
      <c r="G299" s="23" t="n"/>
      <c r="H299" s="25" t="n"/>
      <c r="I299" s="18" t="n"/>
      <c r="J299" s="23" t="n"/>
      <c r="K299" s="18" t="n"/>
      <c r="L299" s="18" t="n"/>
      <c r="M299" s="24">
        <f>IFERROR(IF(G299="","",G299-TODAY()),"")</f>
        <v/>
      </c>
      <c r="N299" s="24">
        <f>IFERROR(IF(OR(I299="Cleared",I299="Cancelled",G299=""),"",IF(G299&lt;TODAY(),"OVERDUE",IF(G299&lt;=TODAY()+'Setup &amp; Lists'!$M$7,"DUE SOON",""))),"CHECK DATE")</f>
        <v/>
      </c>
      <c r="O299" s="18" t="n"/>
    </row>
    <row r="300">
      <c r="A300" s="18" t="n"/>
      <c r="B300" s="18" t="n"/>
      <c r="C300" s="18" t="n"/>
      <c r="D300" s="18" t="n"/>
      <c r="E300" s="18" t="n"/>
      <c r="F300" s="23" t="n"/>
      <c r="G300" s="23" t="n"/>
      <c r="H300" s="25" t="n"/>
      <c r="I300" s="18" t="n"/>
      <c r="J300" s="23" t="n"/>
      <c r="K300" s="18" t="n"/>
      <c r="L300" s="18" t="n"/>
      <c r="M300" s="24">
        <f>IFERROR(IF(G300="","",G300-TODAY()),"")</f>
        <v/>
      </c>
      <c r="N300" s="24">
        <f>IFERROR(IF(OR(I300="Cleared",I300="Cancelled",G300=""),"",IF(G300&lt;TODAY(),"OVERDUE",IF(G300&lt;=TODAY()+'Setup &amp; Lists'!$M$7,"DUE SOON",""))),"CHECK DATE")</f>
        <v/>
      </c>
      <c r="O300" s="18" t="n"/>
    </row>
    <row r="301">
      <c r="A301" s="18" t="n"/>
      <c r="B301" s="18" t="n"/>
      <c r="C301" s="18" t="n"/>
      <c r="D301" s="18" t="n"/>
      <c r="E301" s="18" t="n"/>
      <c r="F301" s="23" t="n"/>
      <c r="G301" s="23" t="n"/>
      <c r="H301" s="25" t="n"/>
      <c r="I301" s="18" t="n"/>
      <c r="J301" s="23" t="n"/>
      <c r="K301" s="18" t="n"/>
      <c r="L301" s="18" t="n"/>
      <c r="M301" s="24">
        <f>IFERROR(IF(G301="","",G301-TODAY()),"")</f>
        <v/>
      </c>
      <c r="N301" s="24">
        <f>IFERROR(IF(OR(I301="Cleared",I301="Cancelled",G301=""),"",IF(G301&lt;TODAY(),"OVERDUE",IF(G301&lt;=TODAY()+'Setup &amp; Lists'!$M$7,"DUE SOON",""))),"CHECK DATE")</f>
        <v/>
      </c>
      <c r="O301" s="18" t="n"/>
    </row>
    <row r="302">
      <c r="A302" s="18" t="n"/>
      <c r="B302" s="18" t="n"/>
      <c r="C302" s="18" t="n"/>
      <c r="D302" s="18" t="n"/>
      <c r="E302" s="18" t="n"/>
      <c r="F302" s="23" t="n"/>
      <c r="G302" s="23" t="n"/>
      <c r="H302" s="25" t="n"/>
      <c r="I302" s="18" t="n"/>
      <c r="J302" s="23" t="n"/>
      <c r="K302" s="18" t="n"/>
      <c r="L302" s="18" t="n"/>
      <c r="M302" s="24">
        <f>IFERROR(IF(G302="","",G302-TODAY()),"")</f>
        <v/>
      </c>
      <c r="N302" s="24">
        <f>IFERROR(IF(OR(I302="Cleared",I302="Cancelled",G302=""),"",IF(G302&lt;TODAY(),"OVERDUE",IF(G302&lt;=TODAY()+'Setup &amp; Lists'!$M$7,"DUE SOON",""))),"CHECK DATE")</f>
        <v/>
      </c>
      <c r="O302" s="18" t="n"/>
    </row>
    <row r="303">
      <c r="A303" s="18" t="n"/>
      <c r="B303" s="18" t="n"/>
      <c r="C303" s="18" t="n"/>
      <c r="D303" s="18" t="n"/>
      <c r="E303" s="18" t="n"/>
      <c r="F303" s="23" t="n"/>
      <c r="G303" s="23" t="n"/>
      <c r="H303" s="25" t="n"/>
      <c r="I303" s="18" t="n"/>
      <c r="J303" s="23" t="n"/>
      <c r="K303" s="18" t="n"/>
      <c r="L303" s="18" t="n"/>
      <c r="M303" s="24">
        <f>IFERROR(IF(G303="","",G303-TODAY()),"")</f>
        <v/>
      </c>
      <c r="N303" s="24">
        <f>IFERROR(IF(OR(I303="Cleared",I303="Cancelled",G303=""),"",IF(G303&lt;TODAY(),"OVERDUE",IF(G303&lt;=TODAY()+'Setup &amp; Lists'!$M$7,"DUE SOON",""))),"CHECK DATE")</f>
        <v/>
      </c>
      <c r="O303" s="18" t="n"/>
    </row>
    <row r="304">
      <c r="A304" s="18" t="n"/>
      <c r="B304" s="18" t="n"/>
      <c r="C304" s="18" t="n"/>
      <c r="D304" s="18" t="n"/>
      <c r="E304" s="18" t="n"/>
      <c r="F304" s="23" t="n"/>
      <c r="G304" s="23" t="n"/>
      <c r="H304" s="25" t="n"/>
      <c r="I304" s="18" t="n"/>
      <c r="J304" s="23" t="n"/>
      <c r="K304" s="18" t="n"/>
      <c r="L304" s="18" t="n"/>
      <c r="M304" s="24">
        <f>IFERROR(IF(G304="","",G304-TODAY()),"")</f>
        <v/>
      </c>
      <c r="N304" s="24">
        <f>IFERROR(IF(OR(I304="Cleared",I304="Cancelled",G304=""),"",IF(G304&lt;TODAY(),"OVERDUE",IF(G304&lt;=TODAY()+'Setup &amp; Lists'!$M$7,"DUE SOON",""))),"CHECK DATE")</f>
        <v/>
      </c>
      <c r="O304" s="18" t="n"/>
    </row>
  </sheetData>
  <mergeCells count="2">
    <mergeCell ref="A1:O1"/>
    <mergeCell ref="A2:O2"/>
  </mergeCells>
  <conditionalFormatting sqref="N5:N304">
    <cfRule type="expression" priority="1" dxfId="0">
      <formula>$N5="OVERDUE"</formula>
    </cfRule>
    <cfRule type="expression" priority="2" dxfId="4">
      <formula>$N5="DUE SOON"</formula>
    </cfRule>
  </conditionalFormatting>
  <dataValidations count="2">
    <dataValidation sqref="C5:C304" showDropDown="0" showInputMessage="0" showErrorMessage="0" allowBlank="1" errorTitle="Invalid value" error="Select a value from the list." promptTitle="Controlled input" prompt="Choose from the approved setup list." type="list">
      <formula1>='Setup &amp; Lists'!$A$5:$A$20</formula1>
    </dataValidation>
    <dataValidation sqref="I5:I304" showDropDown="0" showInputMessage="0" showErrorMessage="0" allowBlank="1" errorTitle="Invalid value" error="Select a value from the list." promptTitle="Controlled input" prompt="Choose from the approved setup list." type="list">
      <formula1>='Setup &amp; Lists'!$E$5:$E$10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5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25" customWidth="1" min="3" max="3"/>
    <col width="18" customWidth="1" min="4" max="4"/>
    <col width="13" customWidth="1" min="5" max="5"/>
    <col width="13" customWidth="1" min="6" max="6"/>
    <col width="14" customWidth="1" min="7" max="7"/>
    <col width="20" customWidth="1" min="8" max="8"/>
    <col width="16" customWidth="1" min="9" max="9"/>
    <col width="16" customWidth="1" min="10" max="10"/>
    <col width="16" customWidth="1" min="11" max="11"/>
    <col width="18" customWidth="1" min="12" max="12"/>
    <col width="18" customWidth="1" min="13" max="13"/>
    <col width="15" customWidth="1" min="14" max="14"/>
    <col width="35" customWidth="1" min="15" max="15"/>
    <col width="14" customWidth="1" min="16" max="16"/>
    <col width="14" customWidth="1" min="17" max="17"/>
    <col width="28" customWidth="1" min="18" max="18"/>
  </cols>
  <sheetData>
    <row r="1" ht="30" customHeight="1">
      <c r="A1" s="1" t="inlineStr">
        <is>
          <t>Accounts Payable</t>
        </is>
      </c>
    </row>
    <row r="2" ht="24" customHeight="1">
      <c r="A2" s="2" t="inlineStr">
        <is>
          <t>ذمم الموردين؛ كل فاتورة مفتوحة يجب أن ترتبط بـ Commitment ID واحد</t>
        </is>
      </c>
    </row>
    <row r="4" ht="32" customHeight="1">
      <c r="A4" s="17" t="inlineStr">
        <is>
          <t>AP ID</t>
        </is>
      </c>
      <c r="B4" s="17" t="inlineStr">
        <is>
          <t>Commitment ID</t>
        </is>
      </c>
      <c r="C4" s="17" t="inlineStr">
        <is>
          <t>Supplier</t>
        </is>
      </c>
      <c r="D4" s="17" t="inlineStr">
        <is>
          <t>Invoice No</t>
        </is>
      </c>
      <c r="E4" s="17" t="inlineStr">
        <is>
          <t>Invoice Date</t>
        </is>
      </c>
      <c r="F4" s="17" t="inlineStr">
        <is>
          <t>Due Date</t>
        </is>
      </c>
      <c r="G4" s="17" t="inlineStr">
        <is>
          <t>Branch</t>
        </is>
      </c>
      <c r="H4" s="17" t="inlineStr">
        <is>
          <t>Category</t>
        </is>
      </c>
      <c r="I4" s="17" t="inlineStr">
        <is>
          <t>Amount (AED)</t>
        </is>
      </c>
      <c r="J4" s="17" t="inlineStr">
        <is>
          <t>Paid (AED)</t>
        </is>
      </c>
      <c r="K4" s="17" t="inlineStr">
        <is>
          <t>Balance (AED)</t>
        </is>
      </c>
      <c r="L4" s="17" t="inlineStr">
        <is>
          <t>Status</t>
        </is>
      </c>
      <c r="M4" s="17" t="inlineStr">
        <is>
          <t>Payment Method</t>
        </is>
      </c>
      <c r="N4" s="17" t="inlineStr">
        <is>
          <t>Purchase ID</t>
        </is>
      </c>
      <c r="O4" s="17" t="inlineStr">
        <is>
          <t>Duplicate Key</t>
        </is>
      </c>
      <c r="P4" s="17" t="inlineStr">
        <is>
          <t>Overdue Days</t>
        </is>
      </c>
      <c r="Q4" s="17" t="inlineStr">
        <is>
          <t>Alert</t>
        </is>
      </c>
      <c r="R4" s="17" t="inlineStr">
        <is>
          <t>Notes</t>
        </is>
      </c>
    </row>
    <row r="5">
      <c r="A5" s="19" t="n"/>
      <c r="B5" s="18" t="n"/>
      <c r="C5" s="19" t="n"/>
      <c r="D5" s="19" t="n"/>
      <c r="E5" s="20" t="n"/>
      <c r="F5" s="20" t="n"/>
      <c r="G5" s="19" t="n"/>
      <c r="H5" s="19" t="n"/>
      <c r="I5" s="21" t="n"/>
      <c r="J5" s="21" t="n"/>
      <c r="K5" s="22">
        <f>IF(I5="","",MAX(0,I5-J5))</f>
        <v/>
      </c>
      <c r="L5" s="19" t="n"/>
      <c r="M5" s="18" t="n"/>
      <c r="N5" s="19" t="n"/>
      <c r="O5" s="24">
        <f>IF(OR(C5="",D5=""),"",C5&amp;"|"&amp;D5&amp;"|"&amp;TEXT(I5,"0.00"))</f>
        <v/>
      </c>
      <c r="P5" s="24">
        <f>IF(OR(F5="",K5=0),0,MAX(0,TODAY()-F5))</f>
        <v/>
      </c>
      <c r="Q5" s="24">
        <f>IF(OR(L5="Paid",L5="Cancelled",F5=""),"",IF(F5&lt;TODAY(),"OVERDUE",IF(F5&lt;=TODAY()+'Setup &amp; Lists'!$M$7,"DUE SOON","")))</f>
        <v/>
      </c>
      <c r="R5" s="18" t="n"/>
    </row>
    <row r="6">
      <c r="A6" s="19" t="n"/>
      <c r="B6" s="18" t="n"/>
      <c r="C6" s="19" t="n"/>
      <c r="D6" s="19" t="n"/>
      <c r="E6" s="20" t="n"/>
      <c r="F6" s="20" t="n"/>
      <c r="G6" s="19" t="n"/>
      <c r="H6" s="19" t="n"/>
      <c r="I6" s="21" t="n"/>
      <c r="J6" s="21" t="n"/>
      <c r="K6" s="22">
        <f>IF(I6="","",MAX(0,I6-J6))</f>
        <v/>
      </c>
      <c r="L6" s="19" t="n"/>
      <c r="M6" s="18" t="n"/>
      <c r="N6" s="19" t="n"/>
      <c r="O6" s="24">
        <f>IF(OR(C6="",D6=""),"",C6&amp;"|"&amp;D6&amp;"|"&amp;TEXT(I6,"0.00"))</f>
        <v/>
      </c>
      <c r="P6" s="24">
        <f>IF(OR(F6="",K6=0),0,MAX(0,TODAY()-F6))</f>
        <v/>
      </c>
      <c r="Q6" s="24">
        <f>IF(OR(L6="Paid",L6="Cancelled",F6=""),"",IF(F6&lt;TODAY(),"OVERDUE",IF(F6&lt;=TODAY()+'Setup &amp; Lists'!$M$7,"DUE SOON","")))</f>
        <v/>
      </c>
      <c r="R6" s="18" t="n"/>
    </row>
    <row r="7">
      <c r="A7" s="19" t="n"/>
      <c r="B7" s="18" t="n"/>
      <c r="C7" s="19" t="n"/>
      <c r="D7" s="19" t="n"/>
      <c r="E7" s="20" t="n"/>
      <c r="F7" s="20" t="n"/>
      <c r="G7" s="19" t="n"/>
      <c r="H7" s="19" t="n"/>
      <c r="I7" s="21" t="n"/>
      <c r="J7" s="21" t="n"/>
      <c r="K7" s="22">
        <f>IF(I7="","",MAX(0,I7-J7))</f>
        <v/>
      </c>
      <c r="L7" s="19" t="n"/>
      <c r="M7" s="18" t="n"/>
      <c r="N7" s="19" t="n"/>
      <c r="O7" s="24">
        <f>IF(OR(C7="",D7=""),"",C7&amp;"|"&amp;D7&amp;"|"&amp;TEXT(I7,"0.00"))</f>
        <v/>
      </c>
      <c r="P7" s="24">
        <f>IF(OR(F7="",K7=0),0,MAX(0,TODAY()-F7))</f>
        <v/>
      </c>
      <c r="Q7" s="24">
        <f>IF(OR(L7="Paid",L7="Cancelled",F7=""),"",IF(F7&lt;TODAY(),"OVERDUE",IF(F7&lt;=TODAY()+'Setup &amp; Lists'!$M$7,"DUE SOON","")))</f>
        <v/>
      </c>
      <c r="R7" s="18" t="n"/>
    </row>
    <row r="8">
      <c r="A8" s="19" t="n"/>
      <c r="B8" s="18" t="n"/>
      <c r="C8" s="19" t="n"/>
      <c r="D8" s="19" t="n"/>
      <c r="E8" s="20" t="n"/>
      <c r="F8" s="20" t="n"/>
      <c r="G8" s="19" t="n"/>
      <c r="H8" s="19" t="n"/>
      <c r="I8" s="21" t="n"/>
      <c r="J8" s="21" t="n"/>
      <c r="K8" s="22">
        <f>IF(I8="","",MAX(0,I8-J8))</f>
        <v/>
      </c>
      <c r="L8" s="19" t="n"/>
      <c r="M8" s="18" t="n"/>
      <c r="N8" s="19" t="n"/>
      <c r="O8" s="24">
        <f>IF(OR(C8="",D8=""),"",C8&amp;"|"&amp;D8&amp;"|"&amp;TEXT(I8,"0.00"))</f>
        <v/>
      </c>
      <c r="P8" s="24">
        <f>IF(OR(F8="",K8=0),0,MAX(0,TODAY()-F8))</f>
        <v/>
      </c>
      <c r="Q8" s="24">
        <f>IF(OR(L8="Paid",L8="Cancelled",F8=""),"",IF(F8&lt;TODAY(),"OVERDUE",IF(F8&lt;=TODAY()+'Setup &amp; Lists'!$M$7,"DUE SOON","")))</f>
        <v/>
      </c>
      <c r="R8" s="18" t="n"/>
    </row>
    <row r="9">
      <c r="A9" s="19" t="n"/>
      <c r="B9" s="18" t="n"/>
      <c r="C9" s="19" t="n"/>
      <c r="D9" s="19" t="n"/>
      <c r="E9" s="20" t="n"/>
      <c r="F9" s="20" t="n"/>
      <c r="G9" s="19" t="n"/>
      <c r="H9" s="19" t="n"/>
      <c r="I9" s="21" t="n"/>
      <c r="J9" s="21" t="n"/>
      <c r="K9" s="22">
        <f>IF(I9="","",MAX(0,I9-J9))</f>
        <v/>
      </c>
      <c r="L9" s="19" t="n"/>
      <c r="M9" s="18" t="n"/>
      <c r="N9" s="19" t="n"/>
      <c r="O9" s="24">
        <f>IF(OR(C9="",D9=""),"",C9&amp;"|"&amp;D9&amp;"|"&amp;TEXT(I9,"0.00"))</f>
        <v/>
      </c>
      <c r="P9" s="24">
        <f>IF(OR(F9="",K9=0),0,MAX(0,TODAY()-F9))</f>
        <v/>
      </c>
      <c r="Q9" s="24">
        <f>IF(OR(L9="Paid",L9="Cancelled",F9=""),"",IF(F9&lt;TODAY(),"OVERDUE",IF(F9&lt;=TODAY()+'Setup &amp; Lists'!$M$7,"DUE SOON","")))</f>
        <v/>
      </c>
      <c r="R9" s="18" t="n"/>
    </row>
    <row r="10">
      <c r="A10" s="19" t="n"/>
      <c r="B10" s="18" t="n"/>
      <c r="C10" s="19" t="n"/>
      <c r="D10" s="19" t="n"/>
      <c r="E10" s="20" t="n"/>
      <c r="F10" s="20" t="n"/>
      <c r="G10" s="19" t="n"/>
      <c r="H10" s="19" t="n"/>
      <c r="I10" s="21" t="n"/>
      <c r="J10" s="21" t="n"/>
      <c r="K10" s="22">
        <f>IF(I10="","",MAX(0,I10-J10))</f>
        <v/>
      </c>
      <c r="L10" s="19" t="n"/>
      <c r="M10" s="18" t="n"/>
      <c r="N10" s="19" t="n"/>
      <c r="O10" s="24">
        <f>IF(OR(C10="",D10=""),"",C10&amp;"|"&amp;D10&amp;"|"&amp;TEXT(I10,"0.00"))</f>
        <v/>
      </c>
      <c r="P10" s="24">
        <f>IF(OR(F10="",K10=0),0,MAX(0,TODAY()-F10))</f>
        <v/>
      </c>
      <c r="Q10" s="24">
        <f>IF(OR(L10="Paid",L10="Cancelled",F10=""),"",IF(F10&lt;TODAY(),"OVERDUE",IF(F10&lt;=TODAY()+'Setup &amp; Lists'!$M$7,"DUE SOON","")))</f>
        <v/>
      </c>
      <c r="R10" s="18" t="n"/>
    </row>
    <row r="11">
      <c r="A11" s="19" t="n"/>
      <c r="B11" s="18" t="n"/>
      <c r="C11" s="19" t="n"/>
      <c r="D11" s="19" t="n"/>
      <c r="E11" s="20" t="n"/>
      <c r="F11" s="20" t="n"/>
      <c r="G11" s="19" t="n"/>
      <c r="H11" s="19" t="n"/>
      <c r="I11" s="21" t="n"/>
      <c r="J11" s="21" t="n"/>
      <c r="K11" s="22">
        <f>IF(I11="","",MAX(0,I11-J11))</f>
        <v/>
      </c>
      <c r="L11" s="19" t="n"/>
      <c r="M11" s="18" t="n"/>
      <c r="N11" s="19" t="n"/>
      <c r="O11" s="24">
        <f>IF(OR(C11="",D11=""),"",C11&amp;"|"&amp;D11&amp;"|"&amp;TEXT(I11,"0.00"))</f>
        <v/>
      </c>
      <c r="P11" s="24">
        <f>IF(OR(F11="",K11=0),0,MAX(0,TODAY()-F11))</f>
        <v/>
      </c>
      <c r="Q11" s="24">
        <f>IF(OR(L11="Paid",L11="Cancelled",F11=""),"",IF(F11&lt;TODAY(),"OVERDUE",IF(F11&lt;=TODAY()+'Setup &amp; Lists'!$M$7,"DUE SOON","")))</f>
        <v/>
      </c>
      <c r="R11" s="18" t="n"/>
    </row>
    <row r="12">
      <c r="A12" s="19" t="n"/>
      <c r="B12" s="18" t="n"/>
      <c r="C12" s="19" t="n"/>
      <c r="D12" s="19" t="n"/>
      <c r="E12" s="20" t="n"/>
      <c r="F12" s="20" t="n"/>
      <c r="G12" s="19" t="n"/>
      <c r="H12" s="19" t="n"/>
      <c r="I12" s="21" t="n"/>
      <c r="J12" s="21" t="n"/>
      <c r="K12" s="22">
        <f>IF(I12="","",MAX(0,I12-J12))</f>
        <v/>
      </c>
      <c r="L12" s="19" t="n"/>
      <c r="M12" s="18" t="n"/>
      <c r="N12" s="19" t="n"/>
      <c r="O12" s="24">
        <f>IF(OR(C12="",D12=""),"",C12&amp;"|"&amp;D12&amp;"|"&amp;TEXT(I12,"0.00"))</f>
        <v/>
      </c>
      <c r="P12" s="24">
        <f>IF(OR(F12="",K12=0),0,MAX(0,TODAY()-F12))</f>
        <v/>
      </c>
      <c r="Q12" s="24">
        <f>IF(OR(L12="Paid",L12="Cancelled",F12=""),"",IF(F12&lt;TODAY(),"OVERDUE",IF(F12&lt;=TODAY()+'Setup &amp; Lists'!$M$7,"DUE SOON","")))</f>
        <v/>
      </c>
      <c r="R12" s="18" t="n"/>
    </row>
    <row r="13">
      <c r="A13" s="19" t="n"/>
      <c r="B13" s="18" t="n"/>
      <c r="C13" s="19" t="n"/>
      <c r="D13" s="19" t="n"/>
      <c r="E13" s="20" t="n"/>
      <c r="F13" s="20" t="n"/>
      <c r="G13" s="19" t="n"/>
      <c r="H13" s="19" t="n"/>
      <c r="I13" s="21" t="n"/>
      <c r="J13" s="21" t="n"/>
      <c r="K13" s="22">
        <f>IF(I13="","",MAX(0,I13-J13))</f>
        <v/>
      </c>
      <c r="L13" s="19" t="n"/>
      <c r="M13" s="18" t="n"/>
      <c r="N13" s="19" t="n"/>
      <c r="O13" s="24">
        <f>IF(OR(C13="",D13=""),"",C13&amp;"|"&amp;D13&amp;"|"&amp;TEXT(I13,"0.00"))</f>
        <v/>
      </c>
      <c r="P13" s="24">
        <f>IF(OR(F13="",K13=0),0,MAX(0,TODAY()-F13))</f>
        <v/>
      </c>
      <c r="Q13" s="24">
        <f>IF(OR(L13="Paid",L13="Cancelled",F13=""),"",IF(F13&lt;TODAY(),"OVERDUE",IF(F13&lt;=TODAY()+'Setup &amp; Lists'!$M$7,"DUE SOON","")))</f>
        <v/>
      </c>
      <c r="R13" s="18" t="n"/>
    </row>
    <row r="14">
      <c r="A14" s="19" t="n"/>
      <c r="B14" s="18" t="n"/>
      <c r="C14" s="19" t="n"/>
      <c r="D14" s="19" t="n"/>
      <c r="E14" s="20" t="n"/>
      <c r="F14" s="20" t="n"/>
      <c r="G14" s="19" t="n"/>
      <c r="H14" s="19" t="n"/>
      <c r="I14" s="21" t="n"/>
      <c r="J14" s="21" t="n"/>
      <c r="K14" s="22">
        <f>IF(I14="","",MAX(0,I14-J14))</f>
        <v/>
      </c>
      <c r="L14" s="19" t="n"/>
      <c r="M14" s="18" t="n"/>
      <c r="N14" s="19" t="n"/>
      <c r="O14" s="24">
        <f>IF(OR(C14="",D14=""),"",C14&amp;"|"&amp;D14&amp;"|"&amp;TEXT(I14,"0.00"))</f>
        <v/>
      </c>
      <c r="P14" s="24">
        <f>IF(OR(F14="",K14=0),0,MAX(0,TODAY()-F14))</f>
        <v/>
      </c>
      <c r="Q14" s="24">
        <f>IF(OR(L14="Paid",L14="Cancelled",F14=""),"",IF(F14&lt;TODAY(),"OVERDUE",IF(F14&lt;=TODAY()+'Setup &amp; Lists'!$M$7,"DUE SOON","")))</f>
        <v/>
      </c>
      <c r="R14" s="18" t="n"/>
    </row>
    <row r="15">
      <c r="A15" s="19" t="n"/>
      <c r="B15" s="18" t="n"/>
      <c r="C15" s="19" t="n"/>
      <c r="D15" s="19" t="n"/>
      <c r="E15" s="20" t="n"/>
      <c r="F15" s="20" t="n"/>
      <c r="G15" s="19" t="n"/>
      <c r="H15" s="19" t="n"/>
      <c r="I15" s="21" t="n"/>
      <c r="J15" s="21" t="n"/>
      <c r="K15" s="22">
        <f>IF(I15="","",MAX(0,I15-J15))</f>
        <v/>
      </c>
      <c r="L15" s="19" t="n"/>
      <c r="M15" s="18" t="n"/>
      <c r="N15" s="19" t="n"/>
      <c r="O15" s="24">
        <f>IF(OR(C15="",D15=""),"",C15&amp;"|"&amp;D15&amp;"|"&amp;TEXT(I15,"0.00"))</f>
        <v/>
      </c>
      <c r="P15" s="24">
        <f>IF(OR(F15="",K15=0),0,MAX(0,TODAY()-F15))</f>
        <v/>
      </c>
      <c r="Q15" s="24">
        <f>IF(OR(L15="Paid",L15="Cancelled",F15=""),"",IF(F15&lt;TODAY(),"OVERDUE",IF(F15&lt;=TODAY()+'Setup &amp; Lists'!$M$7,"DUE SOON","")))</f>
        <v/>
      </c>
      <c r="R15" s="18" t="n"/>
    </row>
    <row r="16">
      <c r="A16" s="19" t="n"/>
      <c r="B16" s="18" t="n"/>
      <c r="C16" s="19" t="n"/>
      <c r="D16" s="19" t="n"/>
      <c r="E16" s="20" t="n"/>
      <c r="F16" s="20" t="n"/>
      <c r="G16" s="19" t="n"/>
      <c r="H16" s="19" t="n"/>
      <c r="I16" s="21" t="n"/>
      <c r="J16" s="21" t="n"/>
      <c r="K16" s="22">
        <f>IF(I16="","",MAX(0,I16-J16))</f>
        <v/>
      </c>
      <c r="L16" s="19" t="n"/>
      <c r="M16" s="18" t="n"/>
      <c r="N16" s="19" t="n"/>
      <c r="O16" s="24">
        <f>IF(OR(C16="",D16=""),"",C16&amp;"|"&amp;D16&amp;"|"&amp;TEXT(I16,"0.00"))</f>
        <v/>
      </c>
      <c r="P16" s="24">
        <f>IF(OR(F16="",K16=0),0,MAX(0,TODAY()-F16))</f>
        <v/>
      </c>
      <c r="Q16" s="24">
        <f>IF(OR(L16="Paid",L16="Cancelled",F16=""),"",IF(F16&lt;TODAY(),"OVERDUE",IF(F16&lt;=TODAY()+'Setup &amp; Lists'!$M$7,"DUE SOON","")))</f>
        <v/>
      </c>
      <c r="R16" s="18" t="n"/>
    </row>
    <row r="17">
      <c r="A17" s="19" t="n"/>
      <c r="B17" s="18" t="n"/>
      <c r="C17" s="19" t="n"/>
      <c r="D17" s="19" t="n"/>
      <c r="E17" s="20" t="n"/>
      <c r="F17" s="20" t="n"/>
      <c r="G17" s="19" t="n"/>
      <c r="H17" s="19" t="n"/>
      <c r="I17" s="21" t="n"/>
      <c r="J17" s="21" t="n"/>
      <c r="K17" s="22">
        <f>IF(I17="","",MAX(0,I17-J17))</f>
        <v/>
      </c>
      <c r="L17" s="19" t="n"/>
      <c r="M17" s="18" t="n"/>
      <c r="N17" s="19" t="n"/>
      <c r="O17" s="24">
        <f>IF(OR(C17="",D17=""),"",C17&amp;"|"&amp;D17&amp;"|"&amp;TEXT(I17,"0.00"))</f>
        <v/>
      </c>
      <c r="P17" s="24">
        <f>IF(OR(F17="",K17=0),0,MAX(0,TODAY()-F17))</f>
        <v/>
      </c>
      <c r="Q17" s="24">
        <f>IF(OR(L17="Paid",L17="Cancelled",F17=""),"",IF(F17&lt;TODAY(),"OVERDUE",IF(F17&lt;=TODAY()+'Setup &amp; Lists'!$M$7,"DUE SOON","")))</f>
        <v/>
      </c>
      <c r="R17" s="18" t="n"/>
    </row>
    <row r="18">
      <c r="A18" s="19" t="n"/>
      <c r="B18" s="18" t="n"/>
      <c r="C18" s="19" t="n"/>
      <c r="D18" s="19" t="n"/>
      <c r="E18" s="20" t="n"/>
      <c r="F18" s="20" t="n"/>
      <c r="G18" s="19" t="n"/>
      <c r="H18" s="19" t="n"/>
      <c r="I18" s="21" t="n"/>
      <c r="J18" s="21" t="n"/>
      <c r="K18" s="22">
        <f>IF(I18="","",MAX(0,I18-J18))</f>
        <v/>
      </c>
      <c r="L18" s="19" t="n"/>
      <c r="M18" s="18" t="n"/>
      <c r="N18" s="19" t="n"/>
      <c r="O18" s="24">
        <f>IF(OR(C18="",D18=""),"",C18&amp;"|"&amp;D18&amp;"|"&amp;TEXT(I18,"0.00"))</f>
        <v/>
      </c>
      <c r="P18" s="24">
        <f>IF(OR(F18="",K18=0),0,MAX(0,TODAY()-F18))</f>
        <v/>
      </c>
      <c r="Q18" s="24">
        <f>IF(OR(L18="Paid",L18="Cancelled",F18=""),"",IF(F18&lt;TODAY(),"OVERDUE",IF(F18&lt;=TODAY()+'Setup &amp; Lists'!$M$7,"DUE SOON","")))</f>
        <v/>
      </c>
      <c r="R18" s="18" t="n"/>
    </row>
    <row r="19">
      <c r="A19" s="19" t="n"/>
      <c r="B19" s="18" t="n"/>
      <c r="C19" s="19" t="n"/>
      <c r="D19" s="19" t="n"/>
      <c r="E19" s="20" t="n"/>
      <c r="F19" s="20" t="n"/>
      <c r="G19" s="19" t="n"/>
      <c r="H19" s="19" t="n"/>
      <c r="I19" s="21" t="n"/>
      <c r="J19" s="21" t="n"/>
      <c r="K19" s="22">
        <f>IF(I19="","",MAX(0,I19-J19))</f>
        <v/>
      </c>
      <c r="L19" s="19" t="n"/>
      <c r="M19" s="18" t="n"/>
      <c r="N19" s="19" t="n"/>
      <c r="O19" s="24">
        <f>IF(OR(C19="",D19=""),"",C19&amp;"|"&amp;D19&amp;"|"&amp;TEXT(I19,"0.00"))</f>
        <v/>
      </c>
      <c r="P19" s="24">
        <f>IF(OR(F19="",K19=0),0,MAX(0,TODAY()-F19))</f>
        <v/>
      </c>
      <c r="Q19" s="24">
        <f>IF(OR(L19="Paid",L19="Cancelled",F19=""),"",IF(F19&lt;TODAY(),"OVERDUE",IF(F19&lt;=TODAY()+'Setup &amp; Lists'!$M$7,"DUE SOON","")))</f>
        <v/>
      </c>
      <c r="R19" s="18" t="n"/>
    </row>
    <row r="20">
      <c r="A20" s="19" t="n"/>
      <c r="B20" s="18" t="n"/>
      <c r="C20" s="19" t="n"/>
      <c r="D20" s="19" t="n"/>
      <c r="E20" s="20" t="n"/>
      <c r="F20" s="20" t="n"/>
      <c r="G20" s="19" t="n"/>
      <c r="H20" s="19" t="n"/>
      <c r="I20" s="21" t="n"/>
      <c r="J20" s="21" t="n"/>
      <c r="K20" s="22">
        <f>IF(I20="","",MAX(0,I20-J20))</f>
        <v/>
      </c>
      <c r="L20" s="19" t="n"/>
      <c r="M20" s="18" t="n"/>
      <c r="N20" s="19" t="n"/>
      <c r="O20" s="24">
        <f>IF(OR(C20="",D20=""),"",C20&amp;"|"&amp;D20&amp;"|"&amp;TEXT(I20,"0.00"))</f>
        <v/>
      </c>
      <c r="P20" s="24">
        <f>IF(OR(F20="",K20=0),0,MAX(0,TODAY()-F20))</f>
        <v/>
      </c>
      <c r="Q20" s="24">
        <f>IF(OR(L20="Paid",L20="Cancelled",F20=""),"",IF(F20&lt;TODAY(),"OVERDUE",IF(F20&lt;=TODAY()+'Setup &amp; Lists'!$M$7,"DUE SOON","")))</f>
        <v/>
      </c>
      <c r="R20" s="18" t="n"/>
    </row>
    <row r="21">
      <c r="A21" s="19" t="n"/>
      <c r="B21" s="18" t="n"/>
      <c r="C21" s="19" t="n"/>
      <c r="D21" s="19" t="n"/>
      <c r="E21" s="20" t="n"/>
      <c r="F21" s="20" t="n"/>
      <c r="G21" s="19" t="n"/>
      <c r="H21" s="19" t="n"/>
      <c r="I21" s="21" t="n"/>
      <c r="J21" s="21" t="n"/>
      <c r="K21" s="22">
        <f>IF(I21="","",MAX(0,I21-J21))</f>
        <v/>
      </c>
      <c r="L21" s="19" t="n"/>
      <c r="M21" s="18" t="n"/>
      <c r="N21" s="19" t="n"/>
      <c r="O21" s="24">
        <f>IF(OR(C21="",D21=""),"",C21&amp;"|"&amp;D21&amp;"|"&amp;TEXT(I21,"0.00"))</f>
        <v/>
      </c>
      <c r="P21" s="24">
        <f>IF(OR(F21="",K21=0),0,MAX(0,TODAY()-F21))</f>
        <v/>
      </c>
      <c r="Q21" s="24">
        <f>IF(OR(L21="Paid",L21="Cancelled",F21=""),"",IF(F21&lt;TODAY(),"OVERDUE",IF(F21&lt;=TODAY()+'Setup &amp; Lists'!$M$7,"DUE SOON","")))</f>
        <v/>
      </c>
      <c r="R21" s="18" t="n"/>
    </row>
    <row r="22">
      <c r="A22" s="19" t="n"/>
      <c r="B22" s="18" t="n"/>
      <c r="C22" s="19" t="n"/>
      <c r="D22" s="19" t="n"/>
      <c r="E22" s="20" t="n"/>
      <c r="F22" s="20" t="n"/>
      <c r="G22" s="19" t="n"/>
      <c r="H22" s="19" t="n"/>
      <c r="I22" s="21" t="n"/>
      <c r="J22" s="21" t="n"/>
      <c r="K22" s="22">
        <f>IF(I22="","",MAX(0,I22-J22))</f>
        <v/>
      </c>
      <c r="L22" s="19" t="n"/>
      <c r="M22" s="18" t="n"/>
      <c r="N22" s="19" t="n"/>
      <c r="O22" s="24">
        <f>IF(OR(C22="",D22=""),"",C22&amp;"|"&amp;D22&amp;"|"&amp;TEXT(I22,"0.00"))</f>
        <v/>
      </c>
      <c r="P22" s="24">
        <f>IF(OR(F22="",K22=0),0,MAX(0,TODAY()-F22))</f>
        <v/>
      </c>
      <c r="Q22" s="24">
        <f>IF(OR(L22="Paid",L22="Cancelled",F22=""),"",IF(F22&lt;TODAY(),"OVERDUE",IF(F22&lt;=TODAY()+'Setup &amp; Lists'!$M$7,"DUE SOON","")))</f>
        <v/>
      </c>
      <c r="R22" s="18" t="n"/>
    </row>
    <row r="23">
      <c r="A23" s="19" t="n"/>
      <c r="B23" s="18" t="n"/>
      <c r="C23" s="19" t="n"/>
      <c r="D23" s="19" t="n"/>
      <c r="E23" s="20" t="n"/>
      <c r="F23" s="20" t="n"/>
      <c r="G23" s="19" t="n"/>
      <c r="H23" s="19" t="n"/>
      <c r="I23" s="21" t="n"/>
      <c r="J23" s="21" t="n"/>
      <c r="K23" s="22">
        <f>IF(I23="","",MAX(0,I23-J23))</f>
        <v/>
      </c>
      <c r="L23" s="19" t="n"/>
      <c r="M23" s="18" t="n"/>
      <c r="N23" s="19" t="n"/>
      <c r="O23" s="24">
        <f>IF(OR(C23="",D23=""),"",C23&amp;"|"&amp;D23&amp;"|"&amp;TEXT(I23,"0.00"))</f>
        <v/>
      </c>
      <c r="P23" s="24">
        <f>IF(OR(F23="",K23=0),0,MAX(0,TODAY()-F23))</f>
        <v/>
      </c>
      <c r="Q23" s="24">
        <f>IF(OR(L23="Paid",L23="Cancelled",F23=""),"",IF(F23&lt;TODAY(),"OVERDUE",IF(F23&lt;=TODAY()+'Setup &amp; Lists'!$M$7,"DUE SOON","")))</f>
        <v/>
      </c>
      <c r="R23" s="18" t="n"/>
    </row>
    <row r="24">
      <c r="A24" s="19" t="n"/>
      <c r="B24" s="18" t="n"/>
      <c r="C24" s="19" t="n"/>
      <c r="D24" s="19" t="n"/>
      <c r="E24" s="20" t="n"/>
      <c r="F24" s="20" t="n"/>
      <c r="G24" s="19" t="n"/>
      <c r="H24" s="19" t="n"/>
      <c r="I24" s="21" t="n"/>
      <c r="J24" s="21" t="n"/>
      <c r="K24" s="22">
        <f>IF(I24="","",MAX(0,I24-J24))</f>
        <v/>
      </c>
      <c r="L24" s="19" t="n"/>
      <c r="M24" s="18" t="n"/>
      <c r="N24" s="19" t="n"/>
      <c r="O24" s="24">
        <f>IF(OR(C24="",D24=""),"",C24&amp;"|"&amp;D24&amp;"|"&amp;TEXT(I24,"0.00"))</f>
        <v/>
      </c>
      <c r="P24" s="24">
        <f>IF(OR(F24="",K24=0),0,MAX(0,TODAY()-F24))</f>
        <v/>
      </c>
      <c r="Q24" s="24">
        <f>IF(OR(L24="Paid",L24="Cancelled",F24=""),"",IF(F24&lt;TODAY(),"OVERDUE",IF(F24&lt;=TODAY()+'Setup &amp; Lists'!$M$7,"DUE SOON","")))</f>
        <v/>
      </c>
      <c r="R24" s="18" t="n"/>
    </row>
    <row r="25">
      <c r="A25" s="19" t="n"/>
      <c r="B25" s="18" t="n"/>
      <c r="C25" s="19" t="n"/>
      <c r="D25" s="19" t="n"/>
      <c r="E25" s="20" t="n"/>
      <c r="F25" s="20" t="n"/>
      <c r="G25" s="19" t="n"/>
      <c r="H25" s="19" t="n"/>
      <c r="I25" s="21" t="n"/>
      <c r="J25" s="21" t="n"/>
      <c r="K25" s="22">
        <f>IF(I25="","",MAX(0,I25-J25))</f>
        <v/>
      </c>
      <c r="L25" s="19" t="n"/>
      <c r="M25" s="18" t="n"/>
      <c r="N25" s="19" t="n"/>
      <c r="O25" s="24">
        <f>IF(OR(C25="",D25=""),"",C25&amp;"|"&amp;D25&amp;"|"&amp;TEXT(I25,"0.00"))</f>
        <v/>
      </c>
      <c r="P25" s="24">
        <f>IF(OR(F25="",K25=0),0,MAX(0,TODAY()-F25))</f>
        <v/>
      </c>
      <c r="Q25" s="24">
        <f>IF(OR(L25="Paid",L25="Cancelled",F25=""),"",IF(F25&lt;TODAY(),"OVERDUE",IF(F25&lt;=TODAY()+'Setup &amp; Lists'!$M$7,"DUE SOON","")))</f>
        <v/>
      </c>
      <c r="R25" s="18" t="n"/>
    </row>
    <row r="26">
      <c r="A26" s="19" t="n"/>
      <c r="B26" s="18" t="n"/>
      <c r="C26" s="19" t="n"/>
      <c r="D26" s="19" t="n"/>
      <c r="E26" s="20" t="n"/>
      <c r="F26" s="20" t="n"/>
      <c r="G26" s="19" t="n"/>
      <c r="H26" s="19" t="n"/>
      <c r="I26" s="21" t="n"/>
      <c r="J26" s="21" t="n"/>
      <c r="K26" s="22">
        <f>IF(I26="","",MAX(0,I26-J26))</f>
        <v/>
      </c>
      <c r="L26" s="19" t="n"/>
      <c r="M26" s="18" t="n"/>
      <c r="N26" s="19" t="n"/>
      <c r="O26" s="24">
        <f>IF(OR(C26="",D26=""),"",C26&amp;"|"&amp;D26&amp;"|"&amp;TEXT(I26,"0.00"))</f>
        <v/>
      </c>
      <c r="P26" s="24">
        <f>IF(OR(F26="",K26=0),0,MAX(0,TODAY()-F26))</f>
        <v/>
      </c>
      <c r="Q26" s="24">
        <f>IF(OR(L26="Paid",L26="Cancelled",F26=""),"",IF(F26&lt;TODAY(),"OVERDUE",IF(F26&lt;=TODAY()+'Setup &amp; Lists'!$M$7,"DUE SOON","")))</f>
        <v/>
      </c>
      <c r="R26" s="18" t="n"/>
    </row>
    <row r="27">
      <c r="A27" s="19" t="n"/>
      <c r="B27" s="18" t="n"/>
      <c r="C27" s="19" t="n"/>
      <c r="D27" s="19" t="n"/>
      <c r="E27" s="20" t="n"/>
      <c r="F27" s="20" t="n"/>
      <c r="G27" s="19" t="n"/>
      <c r="H27" s="19" t="n"/>
      <c r="I27" s="21" t="n"/>
      <c r="J27" s="21" t="n"/>
      <c r="K27" s="22">
        <f>IF(I27="","",MAX(0,I27-J27))</f>
        <v/>
      </c>
      <c r="L27" s="19" t="n"/>
      <c r="M27" s="18" t="n"/>
      <c r="N27" s="19" t="n"/>
      <c r="O27" s="24">
        <f>IF(OR(C27="",D27=""),"",C27&amp;"|"&amp;D27&amp;"|"&amp;TEXT(I27,"0.00"))</f>
        <v/>
      </c>
      <c r="P27" s="24">
        <f>IF(OR(F27="",K27=0),0,MAX(0,TODAY()-F27))</f>
        <v/>
      </c>
      <c r="Q27" s="24">
        <f>IF(OR(L27="Paid",L27="Cancelled",F27=""),"",IF(F27&lt;TODAY(),"OVERDUE",IF(F27&lt;=TODAY()+'Setup &amp; Lists'!$M$7,"DUE SOON","")))</f>
        <v/>
      </c>
      <c r="R27" s="18" t="n"/>
    </row>
    <row r="28">
      <c r="A28" s="19" t="n"/>
      <c r="B28" s="18" t="n"/>
      <c r="C28" s="19" t="n"/>
      <c r="D28" s="19" t="n"/>
      <c r="E28" s="20" t="n"/>
      <c r="F28" s="20" t="n"/>
      <c r="G28" s="19" t="n"/>
      <c r="H28" s="19" t="n"/>
      <c r="I28" s="21" t="n"/>
      <c r="J28" s="21" t="n"/>
      <c r="K28" s="22">
        <f>IF(I28="","",MAX(0,I28-J28))</f>
        <v/>
      </c>
      <c r="L28" s="19" t="n"/>
      <c r="M28" s="18" t="n"/>
      <c r="N28" s="19" t="n"/>
      <c r="O28" s="24">
        <f>IF(OR(C28="",D28=""),"",C28&amp;"|"&amp;D28&amp;"|"&amp;TEXT(I28,"0.00"))</f>
        <v/>
      </c>
      <c r="P28" s="24">
        <f>IF(OR(F28="",K28=0),0,MAX(0,TODAY()-F28))</f>
        <v/>
      </c>
      <c r="Q28" s="24">
        <f>IF(OR(L28="Paid",L28="Cancelled",F28=""),"",IF(F28&lt;TODAY(),"OVERDUE",IF(F28&lt;=TODAY()+'Setup &amp; Lists'!$M$7,"DUE SOON","")))</f>
        <v/>
      </c>
      <c r="R28" s="18" t="n"/>
    </row>
    <row r="29">
      <c r="A29" s="19" t="n"/>
      <c r="B29" s="18" t="n"/>
      <c r="C29" s="19" t="n"/>
      <c r="D29" s="19" t="n"/>
      <c r="E29" s="20" t="n"/>
      <c r="F29" s="20" t="n"/>
      <c r="G29" s="19" t="n"/>
      <c r="H29" s="19" t="n"/>
      <c r="I29" s="21" t="n"/>
      <c r="J29" s="21" t="n"/>
      <c r="K29" s="22">
        <f>IF(I29="","",MAX(0,I29-J29))</f>
        <v/>
      </c>
      <c r="L29" s="19" t="n"/>
      <c r="M29" s="18" t="n"/>
      <c r="N29" s="19" t="n"/>
      <c r="O29" s="24">
        <f>IF(OR(C29="",D29=""),"",C29&amp;"|"&amp;D29&amp;"|"&amp;TEXT(I29,"0.00"))</f>
        <v/>
      </c>
      <c r="P29" s="24">
        <f>IF(OR(F29="",K29=0),0,MAX(0,TODAY()-F29))</f>
        <v/>
      </c>
      <c r="Q29" s="24">
        <f>IF(OR(L29="Paid",L29="Cancelled",F29=""),"",IF(F29&lt;TODAY(),"OVERDUE",IF(F29&lt;=TODAY()+'Setup &amp; Lists'!$M$7,"DUE SOON","")))</f>
        <v/>
      </c>
      <c r="R29" s="18" t="n"/>
    </row>
    <row r="30">
      <c r="A30" s="19" t="n"/>
      <c r="B30" s="18" t="n"/>
      <c r="C30" s="19" t="n"/>
      <c r="D30" s="19" t="n"/>
      <c r="E30" s="20" t="n"/>
      <c r="F30" s="20" t="n"/>
      <c r="G30" s="19" t="n"/>
      <c r="H30" s="19" t="n"/>
      <c r="I30" s="21" t="n"/>
      <c r="J30" s="21" t="n"/>
      <c r="K30" s="22">
        <f>IF(I30="","",MAX(0,I30-J30))</f>
        <v/>
      </c>
      <c r="L30" s="19" t="n"/>
      <c r="M30" s="18" t="n"/>
      <c r="N30" s="19" t="n"/>
      <c r="O30" s="24">
        <f>IF(OR(C30="",D30=""),"",C30&amp;"|"&amp;D30&amp;"|"&amp;TEXT(I30,"0.00"))</f>
        <v/>
      </c>
      <c r="P30" s="24">
        <f>IF(OR(F30="",K30=0),0,MAX(0,TODAY()-F30))</f>
        <v/>
      </c>
      <c r="Q30" s="24">
        <f>IF(OR(L30="Paid",L30="Cancelled",F30=""),"",IF(F30&lt;TODAY(),"OVERDUE",IF(F30&lt;=TODAY()+'Setup &amp; Lists'!$M$7,"DUE SOON","")))</f>
        <v/>
      </c>
      <c r="R30" s="18" t="n"/>
    </row>
    <row r="31">
      <c r="A31" s="19" t="n"/>
      <c r="B31" s="18" t="n"/>
      <c r="C31" s="19" t="n"/>
      <c r="D31" s="19" t="n"/>
      <c r="E31" s="20" t="n"/>
      <c r="F31" s="20" t="n"/>
      <c r="G31" s="19" t="n"/>
      <c r="H31" s="19" t="n"/>
      <c r="I31" s="21" t="n"/>
      <c r="J31" s="21" t="n"/>
      <c r="K31" s="22">
        <f>IF(I31="","",MAX(0,I31-J31))</f>
        <v/>
      </c>
      <c r="L31" s="19" t="n"/>
      <c r="M31" s="18" t="n"/>
      <c r="N31" s="19" t="n"/>
      <c r="O31" s="24">
        <f>IF(OR(C31="",D31=""),"",C31&amp;"|"&amp;D31&amp;"|"&amp;TEXT(I31,"0.00"))</f>
        <v/>
      </c>
      <c r="P31" s="24">
        <f>IF(OR(F31="",K31=0),0,MAX(0,TODAY()-F31))</f>
        <v/>
      </c>
      <c r="Q31" s="24">
        <f>IF(OR(L31="Paid",L31="Cancelled",F31=""),"",IF(F31&lt;TODAY(),"OVERDUE",IF(F31&lt;=TODAY()+'Setup &amp; Lists'!$M$7,"DUE SOON","")))</f>
        <v/>
      </c>
      <c r="R31" s="18" t="n"/>
    </row>
    <row r="32">
      <c r="A32" s="19" t="n"/>
      <c r="B32" s="18" t="n"/>
      <c r="C32" s="19" t="n"/>
      <c r="D32" s="19" t="n"/>
      <c r="E32" s="20" t="n"/>
      <c r="F32" s="20" t="n"/>
      <c r="G32" s="19" t="n"/>
      <c r="H32" s="19" t="n"/>
      <c r="I32" s="21" t="n"/>
      <c r="J32" s="21" t="n"/>
      <c r="K32" s="22">
        <f>IF(I32="","",MAX(0,I32-J32))</f>
        <v/>
      </c>
      <c r="L32" s="19" t="n"/>
      <c r="M32" s="18" t="n"/>
      <c r="N32" s="19" t="n"/>
      <c r="O32" s="24">
        <f>IF(OR(C32="",D32=""),"",C32&amp;"|"&amp;D32&amp;"|"&amp;TEXT(I32,"0.00"))</f>
        <v/>
      </c>
      <c r="P32" s="24">
        <f>IF(OR(F32="",K32=0),0,MAX(0,TODAY()-F32))</f>
        <v/>
      </c>
      <c r="Q32" s="24">
        <f>IF(OR(L32="Paid",L32="Cancelled",F32=""),"",IF(F32&lt;TODAY(),"OVERDUE",IF(F32&lt;=TODAY()+'Setup &amp; Lists'!$M$7,"DUE SOON","")))</f>
        <v/>
      </c>
      <c r="R32" s="18" t="n"/>
    </row>
    <row r="33">
      <c r="A33" s="19" t="n"/>
      <c r="B33" s="18" t="n"/>
      <c r="C33" s="19" t="n"/>
      <c r="D33" s="19" t="n"/>
      <c r="E33" s="20" t="n"/>
      <c r="F33" s="20" t="n"/>
      <c r="G33" s="19" t="n"/>
      <c r="H33" s="19" t="n"/>
      <c r="I33" s="21" t="n"/>
      <c r="J33" s="21" t="n"/>
      <c r="K33" s="22">
        <f>IF(I33="","",MAX(0,I33-J33))</f>
        <v/>
      </c>
      <c r="L33" s="19" t="n"/>
      <c r="M33" s="18" t="n"/>
      <c r="N33" s="19" t="n"/>
      <c r="O33" s="24">
        <f>IF(OR(C33="",D33=""),"",C33&amp;"|"&amp;D33&amp;"|"&amp;TEXT(I33,"0.00"))</f>
        <v/>
      </c>
      <c r="P33" s="24">
        <f>IF(OR(F33="",K33=0),0,MAX(0,TODAY()-F33))</f>
        <v/>
      </c>
      <c r="Q33" s="24">
        <f>IF(OR(L33="Paid",L33="Cancelled",F33=""),"",IF(F33&lt;TODAY(),"OVERDUE",IF(F33&lt;=TODAY()+'Setup &amp; Lists'!$M$7,"DUE SOON","")))</f>
        <v/>
      </c>
      <c r="R33" s="18" t="n"/>
    </row>
    <row r="34">
      <c r="A34" s="19" t="n"/>
      <c r="B34" s="18" t="n"/>
      <c r="C34" s="19" t="n"/>
      <c r="D34" s="19" t="n"/>
      <c r="E34" s="20" t="n"/>
      <c r="F34" s="20" t="n"/>
      <c r="G34" s="19" t="n"/>
      <c r="H34" s="19" t="n"/>
      <c r="I34" s="21" t="n"/>
      <c r="J34" s="21" t="n"/>
      <c r="K34" s="22">
        <f>IF(I34="","",MAX(0,I34-J34))</f>
        <v/>
      </c>
      <c r="L34" s="19" t="n"/>
      <c r="M34" s="18" t="n"/>
      <c r="N34" s="19" t="n"/>
      <c r="O34" s="24">
        <f>IF(OR(C34="",D34=""),"",C34&amp;"|"&amp;D34&amp;"|"&amp;TEXT(I34,"0.00"))</f>
        <v/>
      </c>
      <c r="P34" s="24">
        <f>IF(OR(F34="",K34=0),0,MAX(0,TODAY()-F34))</f>
        <v/>
      </c>
      <c r="Q34" s="24">
        <f>IF(OR(L34="Paid",L34="Cancelled",F34=""),"",IF(F34&lt;TODAY(),"OVERDUE",IF(F34&lt;=TODAY()+'Setup &amp; Lists'!$M$7,"DUE SOON","")))</f>
        <v/>
      </c>
      <c r="R34" s="18" t="n"/>
    </row>
    <row r="35">
      <c r="A35" s="19" t="n"/>
      <c r="B35" s="18" t="n"/>
      <c r="C35" s="19" t="n"/>
      <c r="D35" s="19" t="n"/>
      <c r="E35" s="20" t="n"/>
      <c r="F35" s="20" t="n"/>
      <c r="G35" s="19" t="n"/>
      <c r="H35" s="19" t="n"/>
      <c r="I35" s="21" t="n"/>
      <c r="J35" s="21" t="n"/>
      <c r="K35" s="22">
        <f>IF(I35="","",MAX(0,I35-J35))</f>
        <v/>
      </c>
      <c r="L35" s="19" t="n"/>
      <c r="M35" s="18" t="n"/>
      <c r="N35" s="19" t="n"/>
      <c r="O35" s="24">
        <f>IF(OR(C35="",D35=""),"",C35&amp;"|"&amp;D35&amp;"|"&amp;TEXT(I35,"0.00"))</f>
        <v/>
      </c>
      <c r="P35" s="24">
        <f>IF(OR(F35="",K35=0),0,MAX(0,TODAY()-F35))</f>
        <v/>
      </c>
      <c r="Q35" s="24">
        <f>IF(OR(L35="Paid",L35="Cancelled",F35=""),"",IF(F35&lt;TODAY(),"OVERDUE",IF(F35&lt;=TODAY()+'Setup &amp; Lists'!$M$7,"DUE SOON","")))</f>
        <v/>
      </c>
      <c r="R35" s="18" t="n"/>
    </row>
    <row r="36">
      <c r="A36" s="19" t="n"/>
      <c r="B36" s="18" t="n"/>
      <c r="C36" s="19" t="n"/>
      <c r="D36" s="19" t="n"/>
      <c r="E36" s="20" t="n"/>
      <c r="F36" s="20" t="n"/>
      <c r="G36" s="19" t="n"/>
      <c r="H36" s="19" t="n"/>
      <c r="I36" s="21" t="n"/>
      <c r="J36" s="21" t="n"/>
      <c r="K36" s="22">
        <f>IF(I36="","",MAX(0,I36-J36))</f>
        <v/>
      </c>
      <c r="L36" s="19" t="n"/>
      <c r="M36" s="18" t="n"/>
      <c r="N36" s="19" t="n"/>
      <c r="O36" s="24">
        <f>IF(OR(C36="",D36=""),"",C36&amp;"|"&amp;D36&amp;"|"&amp;TEXT(I36,"0.00"))</f>
        <v/>
      </c>
      <c r="P36" s="24">
        <f>IF(OR(F36="",K36=0),0,MAX(0,TODAY()-F36))</f>
        <v/>
      </c>
      <c r="Q36" s="24">
        <f>IF(OR(L36="Paid",L36="Cancelled",F36=""),"",IF(F36&lt;TODAY(),"OVERDUE",IF(F36&lt;=TODAY()+'Setup &amp; Lists'!$M$7,"DUE SOON","")))</f>
        <v/>
      </c>
      <c r="R36" s="18" t="n"/>
    </row>
    <row r="37">
      <c r="A37" s="19" t="n"/>
      <c r="B37" s="18" t="n"/>
      <c r="C37" s="19" t="n"/>
      <c r="D37" s="19" t="n"/>
      <c r="E37" s="20" t="n"/>
      <c r="F37" s="20" t="n"/>
      <c r="G37" s="19" t="n"/>
      <c r="H37" s="19" t="n"/>
      <c r="I37" s="21" t="n"/>
      <c r="J37" s="21" t="n"/>
      <c r="K37" s="22">
        <f>IF(I37="","",MAX(0,I37-J37))</f>
        <v/>
      </c>
      <c r="L37" s="19" t="n"/>
      <c r="M37" s="18" t="n"/>
      <c r="N37" s="19" t="n"/>
      <c r="O37" s="24">
        <f>IF(OR(C37="",D37=""),"",C37&amp;"|"&amp;D37&amp;"|"&amp;TEXT(I37,"0.00"))</f>
        <v/>
      </c>
      <c r="P37" s="24">
        <f>IF(OR(F37="",K37=0),0,MAX(0,TODAY()-F37))</f>
        <v/>
      </c>
      <c r="Q37" s="24">
        <f>IF(OR(L37="Paid",L37="Cancelled",F37=""),"",IF(F37&lt;TODAY(),"OVERDUE",IF(F37&lt;=TODAY()+'Setup &amp; Lists'!$M$7,"DUE SOON","")))</f>
        <v/>
      </c>
      <c r="R37" s="18" t="n"/>
    </row>
    <row r="38">
      <c r="A38" s="19" t="n"/>
      <c r="B38" s="18" t="n"/>
      <c r="C38" s="19" t="n"/>
      <c r="D38" s="19" t="n"/>
      <c r="E38" s="20" t="n"/>
      <c r="F38" s="20" t="n"/>
      <c r="G38" s="19" t="n"/>
      <c r="H38" s="19" t="n"/>
      <c r="I38" s="21" t="n"/>
      <c r="J38" s="21" t="n"/>
      <c r="K38" s="22">
        <f>IF(I38="","",MAX(0,I38-J38))</f>
        <v/>
      </c>
      <c r="L38" s="19" t="n"/>
      <c r="M38" s="18" t="n"/>
      <c r="N38" s="19" t="n"/>
      <c r="O38" s="24">
        <f>IF(OR(C38="",D38=""),"",C38&amp;"|"&amp;D38&amp;"|"&amp;TEXT(I38,"0.00"))</f>
        <v/>
      </c>
      <c r="P38" s="24">
        <f>IF(OR(F38="",K38=0),0,MAX(0,TODAY()-F38))</f>
        <v/>
      </c>
      <c r="Q38" s="24">
        <f>IF(OR(L38="Paid",L38="Cancelled",F38=""),"",IF(F38&lt;TODAY(),"OVERDUE",IF(F38&lt;=TODAY()+'Setup &amp; Lists'!$M$7,"DUE SOON","")))</f>
        <v/>
      </c>
      <c r="R38" s="18" t="n"/>
    </row>
    <row r="39">
      <c r="A39" s="19" t="n"/>
      <c r="B39" s="18" t="n"/>
      <c r="C39" s="19" t="n"/>
      <c r="D39" s="19" t="n"/>
      <c r="E39" s="20" t="n"/>
      <c r="F39" s="20" t="n"/>
      <c r="G39" s="19" t="n"/>
      <c r="H39" s="19" t="n"/>
      <c r="I39" s="21" t="n"/>
      <c r="J39" s="21" t="n"/>
      <c r="K39" s="22">
        <f>IF(I39="","",MAX(0,I39-J39))</f>
        <v/>
      </c>
      <c r="L39" s="19" t="n"/>
      <c r="M39" s="18" t="n"/>
      <c r="N39" s="19" t="n"/>
      <c r="O39" s="24">
        <f>IF(OR(C39="",D39=""),"",C39&amp;"|"&amp;D39&amp;"|"&amp;TEXT(I39,"0.00"))</f>
        <v/>
      </c>
      <c r="P39" s="24">
        <f>IF(OR(F39="",K39=0),0,MAX(0,TODAY()-F39))</f>
        <v/>
      </c>
      <c r="Q39" s="24">
        <f>IF(OR(L39="Paid",L39="Cancelled",F39=""),"",IF(F39&lt;TODAY(),"OVERDUE",IF(F39&lt;=TODAY()+'Setup &amp; Lists'!$M$7,"DUE SOON","")))</f>
        <v/>
      </c>
      <c r="R39" s="18" t="n"/>
    </row>
    <row r="40">
      <c r="A40" s="19" t="n"/>
      <c r="B40" s="18" t="n"/>
      <c r="C40" s="19" t="n"/>
      <c r="D40" s="19" t="n"/>
      <c r="E40" s="20" t="n"/>
      <c r="F40" s="20" t="n"/>
      <c r="G40" s="19" t="n"/>
      <c r="H40" s="19" t="n"/>
      <c r="I40" s="21" t="n"/>
      <c r="J40" s="21" t="n"/>
      <c r="K40" s="22">
        <f>IF(I40="","",MAX(0,I40-J40))</f>
        <v/>
      </c>
      <c r="L40" s="19" t="n"/>
      <c r="M40" s="18" t="n"/>
      <c r="N40" s="19" t="n"/>
      <c r="O40" s="24">
        <f>IF(OR(C40="",D40=""),"",C40&amp;"|"&amp;D40&amp;"|"&amp;TEXT(I40,"0.00"))</f>
        <v/>
      </c>
      <c r="P40" s="24">
        <f>IF(OR(F40="",K40=0),0,MAX(0,TODAY()-F40))</f>
        <v/>
      </c>
      <c r="Q40" s="24">
        <f>IF(OR(L40="Paid",L40="Cancelled",F40=""),"",IF(F40&lt;TODAY(),"OVERDUE",IF(F40&lt;=TODAY()+'Setup &amp; Lists'!$M$7,"DUE SOON","")))</f>
        <v/>
      </c>
      <c r="R40" s="18" t="n"/>
    </row>
    <row r="41">
      <c r="A41" s="19" t="n"/>
      <c r="B41" s="18" t="n"/>
      <c r="C41" s="19" t="n"/>
      <c r="D41" s="19" t="n"/>
      <c r="E41" s="20" t="n"/>
      <c r="F41" s="20" t="n"/>
      <c r="G41" s="19" t="n"/>
      <c r="H41" s="19" t="n"/>
      <c r="I41" s="21" t="n"/>
      <c r="J41" s="21" t="n"/>
      <c r="K41" s="22">
        <f>IF(I41="","",MAX(0,I41-J41))</f>
        <v/>
      </c>
      <c r="L41" s="19" t="n"/>
      <c r="M41" s="18" t="n"/>
      <c r="N41" s="19" t="n"/>
      <c r="O41" s="24">
        <f>IF(OR(C41="",D41=""),"",C41&amp;"|"&amp;D41&amp;"|"&amp;TEXT(I41,"0.00"))</f>
        <v/>
      </c>
      <c r="P41" s="24">
        <f>IF(OR(F41="",K41=0),0,MAX(0,TODAY()-F41))</f>
        <v/>
      </c>
      <c r="Q41" s="24">
        <f>IF(OR(L41="Paid",L41="Cancelled",F41=""),"",IF(F41&lt;TODAY(),"OVERDUE",IF(F41&lt;=TODAY()+'Setup &amp; Lists'!$M$7,"DUE SOON","")))</f>
        <v/>
      </c>
      <c r="R41" s="18" t="n"/>
    </row>
    <row r="42">
      <c r="A42" s="19" t="n"/>
      <c r="B42" s="18" t="n"/>
      <c r="C42" s="19" t="n"/>
      <c r="D42" s="19" t="n"/>
      <c r="E42" s="20" t="n"/>
      <c r="F42" s="20" t="n"/>
      <c r="G42" s="19" t="n"/>
      <c r="H42" s="19" t="n"/>
      <c r="I42" s="21" t="n"/>
      <c r="J42" s="21" t="n"/>
      <c r="K42" s="22">
        <f>IF(I42="","",MAX(0,I42-J42))</f>
        <v/>
      </c>
      <c r="L42" s="19" t="n"/>
      <c r="M42" s="18" t="n"/>
      <c r="N42" s="19" t="n"/>
      <c r="O42" s="24">
        <f>IF(OR(C42="",D42=""),"",C42&amp;"|"&amp;D42&amp;"|"&amp;TEXT(I42,"0.00"))</f>
        <v/>
      </c>
      <c r="P42" s="24">
        <f>IF(OR(F42="",K42=0),0,MAX(0,TODAY()-F42))</f>
        <v/>
      </c>
      <c r="Q42" s="24">
        <f>IF(OR(L42="Paid",L42="Cancelled",F42=""),"",IF(F42&lt;TODAY(),"OVERDUE",IF(F42&lt;=TODAY()+'Setup &amp; Lists'!$M$7,"DUE SOON","")))</f>
        <v/>
      </c>
      <c r="R42" s="18" t="n"/>
    </row>
    <row r="43">
      <c r="A43" s="19" t="n"/>
      <c r="B43" s="18" t="n"/>
      <c r="C43" s="19" t="n"/>
      <c r="D43" s="19" t="n"/>
      <c r="E43" s="20" t="n"/>
      <c r="F43" s="20" t="n"/>
      <c r="G43" s="19" t="n"/>
      <c r="H43" s="19" t="n"/>
      <c r="I43" s="21" t="n"/>
      <c r="J43" s="21" t="n"/>
      <c r="K43" s="22">
        <f>IF(I43="","",MAX(0,I43-J43))</f>
        <v/>
      </c>
      <c r="L43" s="19" t="n"/>
      <c r="M43" s="18" t="n"/>
      <c r="N43" s="19" t="n"/>
      <c r="O43" s="24">
        <f>IF(OR(C43="",D43=""),"",C43&amp;"|"&amp;D43&amp;"|"&amp;TEXT(I43,"0.00"))</f>
        <v/>
      </c>
      <c r="P43" s="24">
        <f>IF(OR(F43="",K43=0),0,MAX(0,TODAY()-F43))</f>
        <v/>
      </c>
      <c r="Q43" s="24">
        <f>IF(OR(L43="Paid",L43="Cancelled",F43=""),"",IF(F43&lt;TODAY(),"OVERDUE",IF(F43&lt;=TODAY()+'Setup &amp; Lists'!$M$7,"DUE SOON","")))</f>
        <v/>
      </c>
      <c r="R43" s="18" t="n"/>
    </row>
    <row r="44">
      <c r="A44" s="19" t="n"/>
      <c r="B44" s="18" t="n"/>
      <c r="C44" s="19" t="n"/>
      <c r="D44" s="19" t="n"/>
      <c r="E44" s="20" t="n"/>
      <c r="F44" s="20" t="n"/>
      <c r="G44" s="19" t="n"/>
      <c r="H44" s="19" t="n"/>
      <c r="I44" s="21" t="n"/>
      <c r="J44" s="21" t="n"/>
      <c r="K44" s="22">
        <f>IF(I44="","",MAX(0,I44-J44))</f>
        <v/>
      </c>
      <c r="L44" s="19" t="n"/>
      <c r="M44" s="18" t="n"/>
      <c r="N44" s="19" t="n"/>
      <c r="O44" s="24">
        <f>IF(OR(C44="",D44=""),"",C44&amp;"|"&amp;D44&amp;"|"&amp;TEXT(I44,"0.00"))</f>
        <v/>
      </c>
      <c r="P44" s="24">
        <f>IF(OR(F44="",K44=0),0,MAX(0,TODAY()-F44))</f>
        <v/>
      </c>
      <c r="Q44" s="24">
        <f>IF(OR(L44="Paid",L44="Cancelled",F44=""),"",IF(F44&lt;TODAY(),"OVERDUE",IF(F44&lt;=TODAY()+'Setup &amp; Lists'!$M$7,"DUE SOON","")))</f>
        <v/>
      </c>
      <c r="R44" s="18" t="n"/>
    </row>
    <row r="45">
      <c r="A45" s="19" t="n"/>
      <c r="B45" s="18" t="n"/>
      <c r="C45" s="19" t="n"/>
      <c r="D45" s="19" t="n"/>
      <c r="E45" s="20" t="n"/>
      <c r="F45" s="20" t="n"/>
      <c r="G45" s="19" t="n"/>
      <c r="H45" s="19" t="n"/>
      <c r="I45" s="21" t="n"/>
      <c r="J45" s="21" t="n"/>
      <c r="K45" s="22">
        <f>IF(I45="","",MAX(0,I45-J45))</f>
        <v/>
      </c>
      <c r="L45" s="19" t="n"/>
      <c r="M45" s="18" t="n"/>
      <c r="N45" s="19" t="n"/>
      <c r="O45" s="24">
        <f>IF(OR(C45="",D45=""),"",C45&amp;"|"&amp;D45&amp;"|"&amp;TEXT(I45,"0.00"))</f>
        <v/>
      </c>
      <c r="P45" s="24">
        <f>IF(OR(F45="",K45=0),0,MAX(0,TODAY()-F45))</f>
        <v/>
      </c>
      <c r="Q45" s="24">
        <f>IF(OR(L45="Paid",L45="Cancelled",F45=""),"",IF(F45&lt;TODAY(),"OVERDUE",IF(F45&lt;=TODAY()+'Setup &amp; Lists'!$M$7,"DUE SOON","")))</f>
        <v/>
      </c>
      <c r="R45" s="18" t="n"/>
    </row>
    <row r="46">
      <c r="A46" s="19" t="n"/>
      <c r="B46" s="18" t="n"/>
      <c r="C46" s="19" t="n"/>
      <c r="D46" s="19" t="n"/>
      <c r="E46" s="20" t="n"/>
      <c r="F46" s="20" t="n"/>
      <c r="G46" s="19" t="n"/>
      <c r="H46" s="19" t="n"/>
      <c r="I46" s="21" t="n"/>
      <c r="J46" s="21" t="n"/>
      <c r="K46" s="22">
        <f>IF(I46="","",MAX(0,I46-J46))</f>
        <v/>
      </c>
      <c r="L46" s="19" t="n"/>
      <c r="M46" s="18" t="n"/>
      <c r="N46" s="19" t="n"/>
      <c r="O46" s="24">
        <f>IF(OR(C46="",D46=""),"",C46&amp;"|"&amp;D46&amp;"|"&amp;TEXT(I46,"0.00"))</f>
        <v/>
      </c>
      <c r="P46" s="24">
        <f>IF(OR(F46="",K46=0),0,MAX(0,TODAY()-F46))</f>
        <v/>
      </c>
      <c r="Q46" s="24">
        <f>IF(OR(L46="Paid",L46="Cancelled",F46=""),"",IF(F46&lt;TODAY(),"OVERDUE",IF(F46&lt;=TODAY()+'Setup &amp; Lists'!$M$7,"DUE SOON","")))</f>
        <v/>
      </c>
      <c r="R46" s="18" t="n"/>
    </row>
    <row r="47">
      <c r="A47" s="19" t="n"/>
      <c r="B47" s="18" t="n"/>
      <c r="C47" s="19" t="n"/>
      <c r="D47" s="19" t="n"/>
      <c r="E47" s="20" t="n"/>
      <c r="F47" s="20" t="n"/>
      <c r="G47" s="19" t="n"/>
      <c r="H47" s="19" t="n"/>
      <c r="I47" s="21" t="n"/>
      <c r="J47" s="21" t="n"/>
      <c r="K47" s="22">
        <f>IF(I47="","",MAX(0,I47-J47))</f>
        <v/>
      </c>
      <c r="L47" s="19" t="n"/>
      <c r="M47" s="18" t="n"/>
      <c r="N47" s="19" t="n"/>
      <c r="O47" s="24">
        <f>IF(OR(C47="",D47=""),"",C47&amp;"|"&amp;D47&amp;"|"&amp;TEXT(I47,"0.00"))</f>
        <v/>
      </c>
      <c r="P47" s="24">
        <f>IF(OR(F47="",K47=0),0,MAX(0,TODAY()-F47))</f>
        <v/>
      </c>
      <c r="Q47" s="24">
        <f>IF(OR(L47="Paid",L47="Cancelled",F47=""),"",IF(F47&lt;TODAY(),"OVERDUE",IF(F47&lt;=TODAY()+'Setup &amp; Lists'!$M$7,"DUE SOON","")))</f>
        <v/>
      </c>
      <c r="R47" s="18" t="n"/>
    </row>
    <row r="48">
      <c r="A48" s="19" t="n"/>
      <c r="B48" s="18" t="n"/>
      <c r="C48" s="19" t="n"/>
      <c r="D48" s="19" t="n"/>
      <c r="E48" s="20" t="n"/>
      <c r="F48" s="20" t="n"/>
      <c r="G48" s="19" t="n"/>
      <c r="H48" s="19" t="n"/>
      <c r="I48" s="21" t="n"/>
      <c r="J48" s="21" t="n"/>
      <c r="K48" s="22">
        <f>IF(I48="","",MAX(0,I48-J48))</f>
        <v/>
      </c>
      <c r="L48" s="19" t="n"/>
      <c r="M48" s="18" t="n"/>
      <c r="N48" s="19" t="n"/>
      <c r="O48" s="24">
        <f>IF(OR(C48="",D48=""),"",C48&amp;"|"&amp;D48&amp;"|"&amp;TEXT(I48,"0.00"))</f>
        <v/>
      </c>
      <c r="P48" s="24">
        <f>IF(OR(F48="",K48=0),0,MAX(0,TODAY()-F48))</f>
        <v/>
      </c>
      <c r="Q48" s="24">
        <f>IF(OR(L48="Paid",L48="Cancelled",F48=""),"",IF(F48&lt;TODAY(),"OVERDUE",IF(F48&lt;=TODAY()+'Setup &amp; Lists'!$M$7,"DUE SOON","")))</f>
        <v/>
      </c>
      <c r="R48" s="18" t="n"/>
    </row>
    <row r="49">
      <c r="A49" s="19" t="n"/>
      <c r="B49" s="18" t="n"/>
      <c r="C49" s="19" t="n"/>
      <c r="D49" s="19" t="n"/>
      <c r="E49" s="20" t="n"/>
      <c r="F49" s="20" t="n"/>
      <c r="G49" s="19" t="n"/>
      <c r="H49" s="19" t="n"/>
      <c r="I49" s="21" t="n"/>
      <c r="J49" s="21" t="n"/>
      <c r="K49" s="22">
        <f>IF(I49="","",MAX(0,I49-J49))</f>
        <v/>
      </c>
      <c r="L49" s="19" t="n"/>
      <c r="M49" s="18" t="n"/>
      <c r="N49" s="19" t="n"/>
      <c r="O49" s="24">
        <f>IF(OR(C49="",D49=""),"",C49&amp;"|"&amp;D49&amp;"|"&amp;TEXT(I49,"0.00"))</f>
        <v/>
      </c>
      <c r="P49" s="24">
        <f>IF(OR(F49="",K49=0),0,MAX(0,TODAY()-F49))</f>
        <v/>
      </c>
      <c r="Q49" s="24">
        <f>IF(OR(L49="Paid",L49="Cancelled",F49=""),"",IF(F49&lt;TODAY(),"OVERDUE",IF(F49&lt;=TODAY()+'Setup &amp; Lists'!$M$7,"DUE SOON","")))</f>
        <v/>
      </c>
      <c r="R49" s="18" t="n"/>
    </row>
    <row r="50">
      <c r="A50" s="19" t="n"/>
      <c r="B50" s="18" t="n"/>
      <c r="C50" s="19" t="n"/>
      <c r="D50" s="19" t="n"/>
      <c r="E50" s="20" t="n"/>
      <c r="F50" s="20" t="n"/>
      <c r="G50" s="19" t="n"/>
      <c r="H50" s="19" t="n"/>
      <c r="I50" s="21" t="n"/>
      <c r="J50" s="21" t="n"/>
      <c r="K50" s="22">
        <f>IF(I50="","",MAX(0,I50-J50))</f>
        <v/>
      </c>
      <c r="L50" s="19" t="n"/>
      <c r="M50" s="18" t="n"/>
      <c r="N50" s="19" t="n"/>
      <c r="O50" s="24">
        <f>IF(OR(C50="",D50=""),"",C50&amp;"|"&amp;D50&amp;"|"&amp;TEXT(I50,"0.00"))</f>
        <v/>
      </c>
      <c r="P50" s="24">
        <f>IF(OR(F50="",K50=0),0,MAX(0,TODAY()-F50))</f>
        <v/>
      </c>
      <c r="Q50" s="24">
        <f>IF(OR(L50="Paid",L50="Cancelled",F50=""),"",IF(F50&lt;TODAY(),"OVERDUE",IF(F50&lt;=TODAY()+'Setup &amp; Lists'!$M$7,"DUE SOON","")))</f>
        <v/>
      </c>
      <c r="R50" s="18" t="n"/>
    </row>
    <row r="51">
      <c r="A51" s="19" t="n"/>
      <c r="B51" s="18" t="n"/>
      <c r="C51" s="19" t="n"/>
      <c r="D51" s="19" t="n"/>
      <c r="E51" s="20" t="n"/>
      <c r="F51" s="20" t="n"/>
      <c r="G51" s="19" t="n"/>
      <c r="H51" s="19" t="n"/>
      <c r="I51" s="21" t="n"/>
      <c r="J51" s="21" t="n"/>
      <c r="K51" s="22">
        <f>IF(I51="","",MAX(0,I51-J51))</f>
        <v/>
      </c>
      <c r="L51" s="19" t="n"/>
      <c r="M51" s="18" t="n"/>
      <c r="N51" s="19" t="n"/>
      <c r="O51" s="24">
        <f>IF(OR(C51="",D51=""),"",C51&amp;"|"&amp;D51&amp;"|"&amp;TEXT(I51,"0.00"))</f>
        <v/>
      </c>
      <c r="P51" s="24">
        <f>IF(OR(F51="",K51=0),0,MAX(0,TODAY()-F51))</f>
        <v/>
      </c>
      <c r="Q51" s="24">
        <f>IF(OR(L51="Paid",L51="Cancelled",F51=""),"",IF(F51&lt;TODAY(),"OVERDUE",IF(F51&lt;=TODAY()+'Setup &amp; Lists'!$M$7,"DUE SOON","")))</f>
        <v/>
      </c>
      <c r="R51" s="18" t="n"/>
    </row>
    <row r="52">
      <c r="A52" s="19" t="n"/>
      <c r="B52" s="18" t="n"/>
      <c r="C52" s="19" t="n"/>
      <c r="D52" s="19" t="n"/>
      <c r="E52" s="20" t="n"/>
      <c r="F52" s="20" t="n"/>
      <c r="G52" s="19" t="n"/>
      <c r="H52" s="19" t="n"/>
      <c r="I52" s="21" t="n"/>
      <c r="J52" s="21" t="n"/>
      <c r="K52" s="22">
        <f>IF(I52="","",MAX(0,I52-J52))</f>
        <v/>
      </c>
      <c r="L52" s="19" t="n"/>
      <c r="M52" s="18" t="n"/>
      <c r="N52" s="19" t="n"/>
      <c r="O52" s="24">
        <f>IF(OR(C52="",D52=""),"",C52&amp;"|"&amp;D52&amp;"|"&amp;TEXT(I52,"0.00"))</f>
        <v/>
      </c>
      <c r="P52" s="24">
        <f>IF(OR(F52="",K52=0),0,MAX(0,TODAY()-F52))</f>
        <v/>
      </c>
      <c r="Q52" s="24">
        <f>IF(OR(L52="Paid",L52="Cancelled",F52=""),"",IF(F52&lt;TODAY(),"OVERDUE",IF(F52&lt;=TODAY()+'Setup &amp; Lists'!$M$7,"DUE SOON","")))</f>
        <v/>
      </c>
      <c r="R52" s="18" t="n"/>
    </row>
    <row r="53">
      <c r="A53" s="19" t="n"/>
      <c r="B53" s="18" t="n"/>
      <c r="C53" s="19" t="n"/>
      <c r="D53" s="19" t="n"/>
      <c r="E53" s="20" t="n"/>
      <c r="F53" s="20" t="n"/>
      <c r="G53" s="19" t="n"/>
      <c r="H53" s="19" t="n"/>
      <c r="I53" s="21" t="n"/>
      <c r="J53" s="21" t="n"/>
      <c r="K53" s="22">
        <f>IF(I53="","",MAX(0,I53-J53))</f>
        <v/>
      </c>
      <c r="L53" s="19" t="n"/>
      <c r="M53" s="18" t="n"/>
      <c r="N53" s="19" t="n"/>
      <c r="O53" s="24">
        <f>IF(OR(C53="",D53=""),"",C53&amp;"|"&amp;D53&amp;"|"&amp;TEXT(I53,"0.00"))</f>
        <v/>
      </c>
      <c r="P53" s="24">
        <f>IF(OR(F53="",K53=0),0,MAX(0,TODAY()-F53))</f>
        <v/>
      </c>
      <c r="Q53" s="24">
        <f>IF(OR(L53="Paid",L53="Cancelled",F53=""),"",IF(F53&lt;TODAY(),"OVERDUE",IF(F53&lt;=TODAY()+'Setup &amp; Lists'!$M$7,"DUE SOON","")))</f>
        <v/>
      </c>
      <c r="R53" s="18" t="n"/>
    </row>
    <row r="54">
      <c r="A54" s="19" t="n"/>
      <c r="B54" s="18" t="n"/>
      <c r="C54" s="19" t="n"/>
      <c r="D54" s="19" t="n"/>
      <c r="E54" s="20" t="n"/>
      <c r="F54" s="20" t="n"/>
      <c r="G54" s="19" t="n"/>
      <c r="H54" s="19" t="n"/>
      <c r="I54" s="21" t="n"/>
      <c r="J54" s="21" t="n"/>
      <c r="K54" s="22">
        <f>IF(I54="","",MAX(0,I54-J54))</f>
        <v/>
      </c>
      <c r="L54" s="19" t="n"/>
      <c r="M54" s="18" t="n"/>
      <c r="N54" s="19" t="n"/>
      <c r="O54" s="24">
        <f>IF(OR(C54="",D54=""),"",C54&amp;"|"&amp;D54&amp;"|"&amp;TEXT(I54,"0.00"))</f>
        <v/>
      </c>
      <c r="P54" s="24">
        <f>IF(OR(F54="",K54=0),0,MAX(0,TODAY()-F54))</f>
        <v/>
      </c>
      <c r="Q54" s="24">
        <f>IF(OR(L54="Paid",L54="Cancelled",F54=""),"",IF(F54&lt;TODAY(),"OVERDUE",IF(F54&lt;=TODAY()+'Setup &amp; Lists'!$M$7,"DUE SOON","")))</f>
        <v/>
      </c>
      <c r="R54" s="18" t="n"/>
    </row>
    <row r="55">
      <c r="A55" s="19" t="n"/>
      <c r="B55" s="18" t="n"/>
      <c r="C55" s="19" t="n"/>
      <c r="D55" s="19" t="n"/>
      <c r="E55" s="20" t="n"/>
      <c r="F55" s="20" t="n"/>
      <c r="G55" s="19" t="n"/>
      <c r="H55" s="19" t="n"/>
      <c r="I55" s="21" t="n"/>
      <c r="J55" s="21" t="n"/>
      <c r="K55" s="22">
        <f>IF(I55="","",MAX(0,I55-J55))</f>
        <v/>
      </c>
      <c r="L55" s="19" t="n"/>
      <c r="M55" s="18" t="n"/>
      <c r="N55" s="19" t="n"/>
      <c r="O55" s="24">
        <f>IF(OR(C55="",D55=""),"",C55&amp;"|"&amp;D55&amp;"|"&amp;TEXT(I55,"0.00"))</f>
        <v/>
      </c>
      <c r="P55" s="24">
        <f>IF(OR(F55="",K55=0),0,MAX(0,TODAY()-F55))</f>
        <v/>
      </c>
      <c r="Q55" s="24">
        <f>IF(OR(L55="Paid",L55="Cancelled",F55=""),"",IF(F55&lt;TODAY(),"OVERDUE",IF(F55&lt;=TODAY()+'Setup &amp; Lists'!$M$7,"DUE SOON","")))</f>
        <v/>
      </c>
      <c r="R55" s="18" t="n"/>
    </row>
    <row r="56">
      <c r="A56" s="19" t="n"/>
      <c r="B56" s="18" t="n"/>
      <c r="C56" s="19" t="n"/>
      <c r="D56" s="19" t="n"/>
      <c r="E56" s="20" t="n"/>
      <c r="F56" s="20" t="n"/>
      <c r="G56" s="19" t="n"/>
      <c r="H56" s="19" t="n"/>
      <c r="I56" s="21" t="n"/>
      <c r="J56" s="21" t="n"/>
      <c r="K56" s="22">
        <f>IF(I56="","",MAX(0,I56-J56))</f>
        <v/>
      </c>
      <c r="L56" s="19" t="n"/>
      <c r="M56" s="18" t="n"/>
      <c r="N56" s="19" t="n"/>
      <c r="O56" s="24">
        <f>IF(OR(C56="",D56=""),"",C56&amp;"|"&amp;D56&amp;"|"&amp;TEXT(I56,"0.00"))</f>
        <v/>
      </c>
      <c r="P56" s="24">
        <f>IF(OR(F56="",K56=0),0,MAX(0,TODAY()-F56))</f>
        <v/>
      </c>
      <c r="Q56" s="24">
        <f>IF(OR(L56="Paid",L56="Cancelled",F56=""),"",IF(F56&lt;TODAY(),"OVERDUE",IF(F56&lt;=TODAY()+'Setup &amp; Lists'!$M$7,"DUE SOON","")))</f>
        <v/>
      </c>
      <c r="R56" s="18" t="n"/>
    </row>
    <row r="57">
      <c r="A57" s="19" t="n"/>
      <c r="B57" s="18" t="n"/>
      <c r="C57" s="19" t="n"/>
      <c r="D57" s="19" t="n"/>
      <c r="E57" s="20" t="n"/>
      <c r="F57" s="20" t="n"/>
      <c r="G57" s="19" t="n"/>
      <c r="H57" s="19" t="n"/>
      <c r="I57" s="21" t="n"/>
      <c r="J57" s="21" t="n"/>
      <c r="K57" s="22">
        <f>IF(I57="","",MAX(0,I57-J57))</f>
        <v/>
      </c>
      <c r="L57" s="19" t="n"/>
      <c r="M57" s="18" t="n"/>
      <c r="N57" s="19" t="n"/>
      <c r="O57" s="24">
        <f>IF(OR(C57="",D57=""),"",C57&amp;"|"&amp;D57&amp;"|"&amp;TEXT(I57,"0.00"))</f>
        <v/>
      </c>
      <c r="P57" s="24">
        <f>IF(OR(F57="",K57=0),0,MAX(0,TODAY()-F57))</f>
        <v/>
      </c>
      <c r="Q57" s="24">
        <f>IF(OR(L57="Paid",L57="Cancelled",F57=""),"",IF(F57&lt;TODAY(),"OVERDUE",IF(F57&lt;=TODAY()+'Setup &amp; Lists'!$M$7,"DUE SOON","")))</f>
        <v/>
      </c>
      <c r="R57" s="18" t="n"/>
    </row>
    <row r="58">
      <c r="A58" s="19" t="n"/>
      <c r="B58" s="18" t="n"/>
      <c r="C58" s="19" t="n"/>
      <c r="D58" s="19" t="n"/>
      <c r="E58" s="20" t="n"/>
      <c r="F58" s="20" t="n"/>
      <c r="G58" s="19" t="n"/>
      <c r="H58" s="19" t="n"/>
      <c r="I58" s="21" t="n"/>
      <c r="J58" s="21" t="n"/>
      <c r="K58" s="22">
        <f>IF(I58="","",MAX(0,I58-J58))</f>
        <v/>
      </c>
      <c r="L58" s="19" t="n"/>
      <c r="M58" s="18" t="n"/>
      <c r="N58" s="19" t="n"/>
      <c r="O58" s="24">
        <f>IF(OR(C58="",D58=""),"",C58&amp;"|"&amp;D58&amp;"|"&amp;TEXT(I58,"0.00"))</f>
        <v/>
      </c>
      <c r="P58" s="24">
        <f>IF(OR(F58="",K58=0),0,MAX(0,TODAY()-F58))</f>
        <v/>
      </c>
      <c r="Q58" s="24">
        <f>IF(OR(L58="Paid",L58="Cancelled",F58=""),"",IF(F58&lt;TODAY(),"OVERDUE",IF(F58&lt;=TODAY()+'Setup &amp; Lists'!$M$7,"DUE SOON","")))</f>
        <v/>
      </c>
      <c r="R58" s="18" t="n"/>
    </row>
    <row r="59">
      <c r="A59" s="19" t="n"/>
      <c r="B59" s="18" t="n"/>
      <c r="C59" s="19" t="n"/>
      <c r="D59" s="19" t="n"/>
      <c r="E59" s="20" t="n"/>
      <c r="F59" s="20" t="n"/>
      <c r="G59" s="19" t="n"/>
      <c r="H59" s="19" t="n"/>
      <c r="I59" s="21" t="n"/>
      <c r="J59" s="21" t="n"/>
      <c r="K59" s="22">
        <f>IF(I59="","",MAX(0,I59-J59))</f>
        <v/>
      </c>
      <c r="L59" s="19" t="n"/>
      <c r="M59" s="18" t="n"/>
      <c r="N59" s="19" t="n"/>
      <c r="O59" s="24">
        <f>IF(OR(C59="",D59=""),"",C59&amp;"|"&amp;D59&amp;"|"&amp;TEXT(I59,"0.00"))</f>
        <v/>
      </c>
      <c r="P59" s="24">
        <f>IF(OR(F59="",K59=0),0,MAX(0,TODAY()-F59))</f>
        <v/>
      </c>
      <c r="Q59" s="24">
        <f>IF(OR(L59="Paid",L59="Cancelled",F59=""),"",IF(F59&lt;TODAY(),"OVERDUE",IF(F59&lt;=TODAY()+'Setup &amp; Lists'!$M$7,"DUE SOON","")))</f>
        <v/>
      </c>
      <c r="R59" s="18" t="n"/>
    </row>
    <row r="60">
      <c r="A60" s="19" t="n"/>
      <c r="B60" s="18" t="n"/>
      <c r="C60" s="19" t="n"/>
      <c r="D60" s="19" t="n"/>
      <c r="E60" s="20" t="n"/>
      <c r="F60" s="20" t="n"/>
      <c r="G60" s="19" t="n"/>
      <c r="H60" s="19" t="n"/>
      <c r="I60" s="21" t="n"/>
      <c r="J60" s="21" t="n"/>
      <c r="K60" s="22">
        <f>IF(I60="","",MAX(0,I60-J60))</f>
        <v/>
      </c>
      <c r="L60" s="19" t="n"/>
      <c r="M60" s="18" t="n"/>
      <c r="N60" s="19" t="n"/>
      <c r="O60" s="24">
        <f>IF(OR(C60="",D60=""),"",C60&amp;"|"&amp;D60&amp;"|"&amp;TEXT(I60,"0.00"))</f>
        <v/>
      </c>
      <c r="P60" s="24">
        <f>IF(OR(F60="",K60=0),0,MAX(0,TODAY()-F60))</f>
        <v/>
      </c>
      <c r="Q60" s="24">
        <f>IF(OR(L60="Paid",L60="Cancelled",F60=""),"",IF(F60&lt;TODAY(),"OVERDUE",IF(F60&lt;=TODAY()+'Setup &amp; Lists'!$M$7,"DUE SOON","")))</f>
        <v/>
      </c>
      <c r="R60" s="18" t="n"/>
    </row>
    <row r="61">
      <c r="A61" s="19" t="n"/>
      <c r="B61" s="18" t="n"/>
      <c r="C61" s="19" t="n"/>
      <c r="D61" s="19" t="n"/>
      <c r="E61" s="20" t="n"/>
      <c r="F61" s="20" t="n"/>
      <c r="G61" s="19" t="n"/>
      <c r="H61" s="19" t="n"/>
      <c r="I61" s="21" t="n"/>
      <c r="J61" s="21" t="n"/>
      <c r="K61" s="22">
        <f>IF(I61="","",MAX(0,I61-J61))</f>
        <v/>
      </c>
      <c r="L61" s="19" t="n"/>
      <c r="M61" s="18" t="n"/>
      <c r="N61" s="19" t="n"/>
      <c r="O61" s="24">
        <f>IF(OR(C61="",D61=""),"",C61&amp;"|"&amp;D61&amp;"|"&amp;TEXT(I61,"0.00"))</f>
        <v/>
      </c>
      <c r="P61" s="24">
        <f>IF(OR(F61="",K61=0),0,MAX(0,TODAY()-F61))</f>
        <v/>
      </c>
      <c r="Q61" s="24">
        <f>IF(OR(L61="Paid",L61="Cancelled",F61=""),"",IF(F61&lt;TODAY(),"OVERDUE",IF(F61&lt;=TODAY()+'Setup &amp; Lists'!$M$7,"DUE SOON","")))</f>
        <v/>
      </c>
      <c r="R61" s="18" t="n"/>
    </row>
    <row r="62">
      <c r="A62" s="19" t="n"/>
      <c r="B62" s="18" t="n"/>
      <c r="C62" s="19" t="n"/>
      <c r="D62" s="19" t="n"/>
      <c r="E62" s="20" t="n"/>
      <c r="F62" s="20" t="n"/>
      <c r="G62" s="19" t="n"/>
      <c r="H62" s="19" t="n"/>
      <c r="I62" s="21" t="n"/>
      <c r="J62" s="21" t="n"/>
      <c r="K62" s="22">
        <f>IF(I62="","",MAX(0,I62-J62))</f>
        <v/>
      </c>
      <c r="L62" s="19" t="n"/>
      <c r="M62" s="18" t="n"/>
      <c r="N62" s="19" t="n"/>
      <c r="O62" s="24">
        <f>IF(OR(C62="",D62=""),"",C62&amp;"|"&amp;D62&amp;"|"&amp;TEXT(I62,"0.00"))</f>
        <v/>
      </c>
      <c r="P62" s="24">
        <f>IF(OR(F62="",K62=0),0,MAX(0,TODAY()-F62))</f>
        <v/>
      </c>
      <c r="Q62" s="24">
        <f>IF(OR(L62="Paid",L62="Cancelled",F62=""),"",IF(F62&lt;TODAY(),"OVERDUE",IF(F62&lt;=TODAY()+'Setup &amp; Lists'!$M$7,"DUE SOON","")))</f>
        <v/>
      </c>
      <c r="R62" s="18" t="n"/>
    </row>
    <row r="63">
      <c r="A63" s="19" t="n"/>
      <c r="B63" s="18" t="n"/>
      <c r="C63" s="19" t="n"/>
      <c r="D63" s="19" t="n"/>
      <c r="E63" s="20" t="n"/>
      <c r="F63" s="20" t="n"/>
      <c r="G63" s="19" t="n"/>
      <c r="H63" s="19" t="n"/>
      <c r="I63" s="21" t="n"/>
      <c r="J63" s="21" t="n"/>
      <c r="K63" s="22">
        <f>IF(I63="","",MAX(0,I63-J63))</f>
        <v/>
      </c>
      <c r="L63" s="19" t="n"/>
      <c r="M63" s="18" t="n"/>
      <c r="N63" s="19" t="n"/>
      <c r="O63" s="24">
        <f>IF(OR(C63="",D63=""),"",C63&amp;"|"&amp;D63&amp;"|"&amp;TEXT(I63,"0.00"))</f>
        <v/>
      </c>
      <c r="P63" s="24">
        <f>IF(OR(F63="",K63=0),0,MAX(0,TODAY()-F63))</f>
        <v/>
      </c>
      <c r="Q63" s="24">
        <f>IF(OR(L63="Paid",L63="Cancelled",F63=""),"",IF(F63&lt;TODAY(),"OVERDUE",IF(F63&lt;=TODAY()+'Setup &amp; Lists'!$M$7,"DUE SOON","")))</f>
        <v/>
      </c>
      <c r="R63" s="18" t="n"/>
    </row>
    <row r="64">
      <c r="A64" s="19" t="n"/>
      <c r="B64" s="18" t="n"/>
      <c r="C64" s="19" t="n"/>
      <c r="D64" s="19" t="n"/>
      <c r="E64" s="20" t="n"/>
      <c r="F64" s="20" t="n"/>
      <c r="G64" s="19" t="n"/>
      <c r="H64" s="19" t="n"/>
      <c r="I64" s="21" t="n"/>
      <c r="J64" s="21" t="n"/>
      <c r="K64" s="22">
        <f>IF(I64="","",MAX(0,I64-J64))</f>
        <v/>
      </c>
      <c r="L64" s="19" t="n"/>
      <c r="M64" s="18" t="n"/>
      <c r="N64" s="19" t="n"/>
      <c r="O64" s="24">
        <f>IF(OR(C64="",D64=""),"",C64&amp;"|"&amp;D64&amp;"|"&amp;TEXT(I64,"0.00"))</f>
        <v/>
      </c>
      <c r="P64" s="24">
        <f>IF(OR(F64="",K64=0),0,MAX(0,TODAY()-F64))</f>
        <v/>
      </c>
      <c r="Q64" s="24">
        <f>IF(OR(L64="Paid",L64="Cancelled",F64=""),"",IF(F64&lt;TODAY(),"OVERDUE",IF(F64&lt;=TODAY()+'Setup &amp; Lists'!$M$7,"DUE SOON","")))</f>
        <v/>
      </c>
      <c r="R64" s="18" t="n"/>
    </row>
    <row r="65">
      <c r="A65" s="19" t="n"/>
      <c r="B65" s="18" t="n"/>
      <c r="C65" s="19" t="n"/>
      <c r="D65" s="19" t="n"/>
      <c r="E65" s="20" t="n"/>
      <c r="F65" s="20" t="n"/>
      <c r="G65" s="19" t="n"/>
      <c r="H65" s="19" t="n"/>
      <c r="I65" s="21" t="n"/>
      <c r="J65" s="21" t="n"/>
      <c r="K65" s="22">
        <f>IF(I65="","",MAX(0,I65-J65))</f>
        <v/>
      </c>
      <c r="L65" s="19" t="n"/>
      <c r="M65" s="18" t="n"/>
      <c r="N65" s="19" t="n"/>
      <c r="O65" s="24">
        <f>IF(OR(C65="",D65=""),"",C65&amp;"|"&amp;D65&amp;"|"&amp;TEXT(I65,"0.00"))</f>
        <v/>
      </c>
      <c r="P65" s="24">
        <f>IF(OR(F65="",K65=0),0,MAX(0,TODAY()-F65))</f>
        <v/>
      </c>
      <c r="Q65" s="24">
        <f>IF(OR(L65="Paid",L65="Cancelled",F65=""),"",IF(F65&lt;TODAY(),"OVERDUE",IF(F65&lt;=TODAY()+'Setup &amp; Lists'!$M$7,"DUE SOON","")))</f>
        <v/>
      </c>
      <c r="R65" s="18" t="n"/>
    </row>
    <row r="66">
      <c r="A66" s="19" t="n"/>
      <c r="B66" s="18" t="n"/>
      <c r="C66" s="19" t="n"/>
      <c r="D66" s="19" t="n"/>
      <c r="E66" s="20" t="n"/>
      <c r="F66" s="20" t="n"/>
      <c r="G66" s="19" t="n"/>
      <c r="H66" s="19" t="n"/>
      <c r="I66" s="21" t="n"/>
      <c r="J66" s="21" t="n"/>
      <c r="K66" s="22">
        <f>IF(I66="","",MAX(0,I66-J66))</f>
        <v/>
      </c>
      <c r="L66" s="19" t="n"/>
      <c r="M66" s="18" t="n"/>
      <c r="N66" s="19" t="n"/>
      <c r="O66" s="24">
        <f>IF(OR(C66="",D66=""),"",C66&amp;"|"&amp;D66&amp;"|"&amp;TEXT(I66,"0.00"))</f>
        <v/>
      </c>
      <c r="P66" s="24">
        <f>IF(OR(F66="",K66=0),0,MAX(0,TODAY()-F66))</f>
        <v/>
      </c>
      <c r="Q66" s="24">
        <f>IF(OR(L66="Paid",L66="Cancelled",F66=""),"",IF(F66&lt;TODAY(),"OVERDUE",IF(F66&lt;=TODAY()+'Setup &amp; Lists'!$M$7,"DUE SOON","")))</f>
        <v/>
      </c>
      <c r="R66" s="18" t="n"/>
    </row>
    <row r="67">
      <c r="A67" s="19" t="n"/>
      <c r="B67" s="18" t="n"/>
      <c r="C67" s="19" t="n"/>
      <c r="D67" s="19" t="n"/>
      <c r="E67" s="20" t="n"/>
      <c r="F67" s="20" t="n"/>
      <c r="G67" s="19" t="n"/>
      <c r="H67" s="19" t="n"/>
      <c r="I67" s="21" t="n"/>
      <c r="J67" s="21" t="n"/>
      <c r="K67" s="22">
        <f>IF(I67="","",MAX(0,I67-J67))</f>
        <v/>
      </c>
      <c r="L67" s="19" t="n"/>
      <c r="M67" s="18" t="n"/>
      <c r="N67" s="19" t="n"/>
      <c r="O67" s="24">
        <f>IF(OR(C67="",D67=""),"",C67&amp;"|"&amp;D67&amp;"|"&amp;TEXT(I67,"0.00"))</f>
        <v/>
      </c>
      <c r="P67" s="24">
        <f>IF(OR(F67="",K67=0),0,MAX(0,TODAY()-F67))</f>
        <v/>
      </c>
      <c r="Q67" s="24">
        <f>IF(OR(L67="Paid",L67="Cancelled",F67=""),"",IF(F67&lt;TODAY(),"OVERDUE",IF(F67&lt;=TODAY()+'Setup &amp; Lists'!$M$7,"DUE SOON","")))</f>
        <v/>
      </c>
      <c r="R67" s="18" t="n"/>
    </row>
    <row r="68">
      <c r="A68" s="19" t="n"/>
      <c r="B68" s="18" t="n"/>
      <c r="C68" s="19" t="n"/>
      <c r="D68" s="19" t="n"/>
      <c r="E68" s="20" t="n"/>
      <c r="F68" s="20" t="n"/>
      <c r="G68" s="19" t="n"/>
      <c r="H68" s="19" t="n"/>
      <c r="I68" s="21" t="n"/>
      <c r="J68" s="21" t="n"/>
      <c r="K68" s="22">
        <f>IF(I68="","",MAX(0,I68-J68))</f>
        <v/>
      </c>
      <c r="L68" s="19" t="n"/>
      <c r="M68" s="18" t="n"/>
      <c r="N68" s="19" t="n"/>
      <c r="O68" s="24">
        <f>IF(OR(C68="",D68=""),"",C68&amp;"|"&amp;D68&amp;"|"&amp;TEXT(I68,"0.00"))</f>
        <v/>
      </c>
      <c r="P68" s="24">
        <f>IF(OR(F68="",K68=0),0,MAX(0,TODAY()-F68))</f>
        <v/>
      </c>
      <c r="Q68" s="24">
        <f>IF(OR(L68="Paid",L68="Cancelled",F68=""),"",IF(F68&lt;TODAY(),"OVERDUE",IF(F68&lt;=TODAY()+'Setup &amp; Lists'!$M$7,"DUE SOON","")))</f>
        <v/>
      </c>
      <c r="R68" s="18" t="n"/>
    </row>
    <row r="69">
      <c r="A69" s="19" t="n"/>
      <c r="B69" s="18" t="n"/>
      <c r="C69" s="19" t="n"/>
      <c r="D69" s="19" t="n"/>
      <c r="E69" s="20" t="n"/>
      <c r="F69" s="20" t="n"/>
      <c r="G69" s="19" t="n"/>
      <c r="H69" s="19" t="n"/>
      <c r="I69" s="21" t="n"/>
      <c r="J69" s="21" t="n"/>
      <c r="K69" s="22">
        <f>IF(I69="","",MAX(0,I69-J69))</f>
        <v/>
      </c>
      <c r="L69" s="19" t="n"/>
      <c r="M69" s="18" t="n"/>
      <c r="N69" s="19" t="n"/>
      <c r="O69" s="24">
        <f>IF(OR(C69="",D69=""),"",C69&amp;"|"&amp;D69&amp;"|"&amp;TEXT(I69,"0.00"))</f>
        <v/>
      </c>
      <c r="P69" s="24">
        <f>IF(OR(F69="",K69=0),0,MAX(0,TODAY()-F69))</f>
        <v/>
      </c>
      <c r="Q69" s="24">
        <f>IF(OR(L69="Paid",L69="Cancelled",F69=""),"",IF(F69&lt;TODAY(),"OVERDUE",IF(F69&lt;=TODAY()+'Setup &amp; Lists'!$M$7,"DUE SOON","")))</f>
        <v/>
      </c>
      <c r="R69" s="18" t="n"/>
    </row>
    <row r="70">
      <c r="A70" s="19" t="n"/>
      <c r="B70" s="18" t="n"/>
      <c r="C70" s="19" t="n"/>
      <c r="D70" s="19" t="n"/>
      <c r="E70" s="20" t="n"/>
      <c r="F70" s="20" t="n"/>
      <c r="G70" s="19" t="n"/>
      <c r="H70" s="19" t="n"/>
      <c r="I70" s="21" t="n"/>
      <c r="J70" s="21" t="n"/>
      <c r="K70" s="22">
        <f>IF(I70="","",MAX(0,I70-J70))</f>
        <v/>
      </c>
      <c r="L70" s="19" t="n"/>
      <c r="M70" s="18" t="n"/>
      <c r="N70" s="19" t="n"/>
      <c r="O70" s="24">
        <f>IF(OR(C70="",D70=""),"",C70&amp;"|"&amp;D70&amp;"|"&amp;TEXT(I70,"0.00"))</f>
        <v/>
      </c>
      <c r="P70" s="24">
        <f>IF(OR(F70="",K70=0),0,MAX(0,TODAY()-F70))</f>
        <v/>
      </c>
      <c r="Q70" s="24">
        <f>IF(OR(L70="Paid",L70="Cancelled",F70=""),"",IF(F70&lt;TODAY(),"OVERDUE",IF(F70&lt;=TODAY()+'Setup &amp; Lists'!$M$7,"DUE SOON","")))</f>
        <v/>
      </c>
      <c r="R70" s="18" t="n"/>
    </row>
    <row r="71">
      <c r="A71" s="19" t="n"/>
      <c r="B71" s="18" t="n"/>
      <c r="C71" s="19" t="n"/>
      <c r="D71" s="19" t="n"/>
      <c r="E71" s="20" t="n"/>
      <c r="F71" s="20" t="n"/>
      <c r="G71" s="19" t="n"/>
      <c r="H71" s="19" t="n"/>
      <c r="I71" s="21" t="n"/>
      <c r="J71" s="21" t="n"/>
      <c r="K71" s="22">
        <f>IF(I71="","",MAX(0,I71-J71))</f>
        <v/>
      </c>
      <c r="L71" s="19" t="n"/>
      <c r="M71" s="18" t="n"/>
      <c r="N71" s="19" t="n"/>
      <c r="O71" s="24">
        <f>IF(OR(C71="",D71=""),"",C71&amp;"|"&amp;D71&amp;"|"&amp;TEXT(I71,"0.00"))</f>
        <v/>
      </c>
      <c r="P71" s="24">
        <f>IF(OR(F71="",K71=0),0,MAX(0,TODAY()-F71))</f>
        <v/>
      </c>
      <c r="Q71" s="24">
        <f>IF(OR(L71="Paid",L71="Cancelled",F71=""),"",IF(F71&lt;TODAY(),"OVERDUE",IF(F71&lt;=TODAY()+'Setup &amp; Lists'!$M$7,"DUE SOON","")))</f>
        <v/>
      </c>
      <c r="R71" s="18" t="n"/>
    </row>
    <row r="72">
      <c r="A72" s="19" t="n"/>
      <c r="B72" s="18" t="n"/>
      <c r="C72" s="19" t="n"/>
      <c r="D72" s="19" t="n"/>
      <c r="E72" s="20" t="n"/>
      <c r="F72" s="20" t="n"/>
      <c r="G72" s="19" t="n"/>
      <c r="H72" s="19" t="n"/>
      <c r="I72" s="21" t="n"/>
      <c r="J72" s="21" t="n"/>
      <c r="K72" s="22">
        <f>IF(I72="","",MAX(0,I72-J72))</f>
        <v/>
      </c>
      <c r="L72" s="19" t="n"/>
      <c r="M72" s="18" t="n"/>
      <c r="N72" s="19" t="n"/>
      <c r="O72" s="24">
        <f>IF(OR(C72="",D72=""),"",C72&amp;"|"&amp;D72&amp;"|"&amp;TEXT(I72,"0.00"))</f>
        <v/>
      </c>
      <c r="P72" s="24">
        <f>IF(OR(F72="",K72=0),0,MAX(0,TODAY()-F72))</f>
        <v/>
      </c>
      <c r="Q72" s="24">
        <f>IF(OR(L72="Paid",L72="Cancelled",F72=""),"",IF(F72&lt;TODAY(),"OVERDUE",IF(F72&lt;=TODAY()+'Setup &amp; Lists'!$M$7,"DUE SOON","")))</f>
        <v/>
      </c>
      <c r="R72" s="18" t="n"/>
    </row>
    <row r="73">
      <c r="A73" s="19" t="n"/>
      <c r="B73" s="18" t="n"/>
      <c r="C73" s="19" t="n"/>
      <c r="D73" s="19" t="n"/>
      <c r="E73" s="20" t="n"/>
      <c r="F73" s="20" t="n"/>
      <c r="G73" s="19" t="n"/>
      <c r="H73" s="19" t="n"/>
      <c r="I73" s="21" t="n"/>
      <c r="J73" s="21" t="n"/>
      <c r="K73" s="22">
        <f>IF(I73="","",MAX(0,I73-J73))</f>
        <v/>
      </c>
      <c r="L73" s="19" t="n"/>
      <c r="M73" s="18" t="n"/>
      <c r="N73" s="19" t="n"/>
      <c r="O73" s="24">
        <f>IF(OR(C73="",D73=""),"",C73&amp;"|"&amp;D73&amp;"|"&amp;TEXT(I73,"0.00"))</f>
        <v/>
      </c>
      <c r="P73" s="24">
        <f>IF(OR(F73="",K73=0),0,MAX(0,TODAY()-F73))</f>
        <v/>
      </c>
      <c r="Q73" s="24">
        <f>IF(OR(L73="Paid",L73="Cancelled",F73=""),"",IF(F73&lt;TODAY(),"OVERDUE",IF(F73&lt;=TODAY()+'Setup &amp; Lists'!$M$7,"DUE SOON","")))</f>
        <v/>
      </c>
      <c r="R73" s="18" t="n"/>
    </row>
    <row r="74">
      <c r="A74" s="19" t="n"/>
      <c r="B74" s="18" t="n"/>
      <c r="C74" s="19" t="n"/>
      <c r="D74" s="19" t="n"/>
      <c r="E74" s="20" t="n"/>
      <c r="F74" s="20" t="n"/>
      <c r="G74" s="19" t="n"/>
      <c r="H74" s="19" t="n"/>
      <c r="I74" s="21" t="n"/>
      <c r="J74" s="21" t="n"/>
      <c r="K74" s="22">
        <f>IF(I74="","",MAX(0,I74-J74))</f>
        <v/>
      </c>
      <c r="L74" s="19" t="n"/>
      <c r="M74" s="18" t="n"/>
      <c r="N74" s="19" t="n"/>
      <c r="O74" s="24">
        <f>IF(OR(C74="",D74=""),"",C74&amp;"|"&amp;D74&amp;"|"&amp;TEXT(I74,"0.00"))</f>
        <v/>
      </c>
      <c r="P74" s="24">
        <f>IF(OR(F74="",K74=0),0,MAX(0,TODAY()-F74))</f>
        <v/>
      </c>
      <c r="Q74" s="24">
        <f>IF(OR(L74="Paid",L74="Cancelled",F74=""),"",IF(F74&lt;TODAY(),"OVERDUE",IF(F74&lt;=TODAY()+'Setup &amp; Lists'!$M$7,"DUE SOON","")))</f>
        <v/>
      </c>
      <c r="R74" s="18" t="n"/>
    </row>
    <row r="75">
      <c r="A75" s="19" t="n"/>
      <c r="B75" s="18" t="n"/>
      <c r="C75" s="19" t="n"/>
      <c r="D75" s="19" t="n"/>
      <c r="E75" s="20" t="n"/>
      <c r="F75" s="20" t="n"/>
      <c r="G75" s="19" t="n"/>
      <c r="H75" s="19" t="n"/>
      <c r="I75" s="21" t="n"/>
      <c r="J75" s="21" t="n"/>
      <c r="K75" s="22">
        <f>IF(I75="","",MAX(0,I75-J75))</f>
        <v/>
      </c>
      <c r="L75" s="19" t="n"/>
      <c r="M75" s="18" t="n"/>
      <c r="N75" s="19" t="n"/>
      <c r="O75" s="24">
        <f>IF(OR(C75="",D75=""),"",C75&amp;"|"&amp;D75&amp;"|"&amp;TEXT(I75,"0.00"))</f>
        <v/>
      </c>
      <c r="P75" s="24">
        <f>IF(OR(F75="",K75=0),0,MAX(0,TODAY()-F75))</f>
        <v/>
      </c>
      <c r="Q75" s="24">
        <f>IF(OR(L75="Paid",L75="Cancelled",F75=""),"",IF(F75&lt;TODAY(),"OVERDUE",IF(F75&lt;=TODAY()+'Setup &amp; Lists'!$M$7,"DUE SOON","")))</f>
        <v/>
      </c>
      <c r="R75" s="18" t="n"/>
    </row>
    <row r="76">
      <c r="A76" s="19" t="n"/>
      <c r="B76" s="18" t="n"/>
      <c r="C76" s="19" t="n"/>
      <c r="D76" s="19" t="n"/>
      <c r="E76" s="20" t="n"/>
      <c r="F76" s="20" t="n"/>
      <c r="G76" s="19" t="n"/>
      <c r="H76" s="19" t="n"/>
      <c r="I76" s="21" t="n"/>
      <c r="J76" s="21" t="n"/>
      <c r="K76" s="22">
        <f>IF(I76="","",MAX(0,I76-J76))</f>
        <v/>
      </c>
      <c r="L76" s="19" t="n"/>
      <c r="M76" s="18" t="n"/>
      <c r="N76" s="19" t="n"/>
      <c r="O76" s="24">
        <f>IF(OR(C76="",D76=""),"",C76&amp;"|"&amp;D76&amp;"|"&amp;TEXT(I76,"0.00"))</f>
        <v/>
      </c>
      <c r="P76" s="24">
        <f>IF(OR(F76="",K76=0),0,MAX(0,TODAY()-F76))</f>
        <v/>
      </c>
      <c r="Q76" s="24">
        <f>IF(OR(L76="Paid",L76="Cancelled",F76=""),"",IF(F76&lt;TODAY(),"OVERDUE",IF(F76&lt;=TODAY()+'Setup &amp; Lists'!$M$7,"DUE SOON","")))</f>
        <v/>
      </c>
      <c r="R76" s="18" t="n"/>
    </row>
    <row r="77">
      <c r="A77" s="19" t="n"/>
      <c r="B77" s="18" t="n"/>
      <c r="C77" s="19" t="n"/>
      <c r="D77" s="19" t="n"/>
      <c r="E77" s="20" t="n"/>
      <c r="F77" s="20" t="n"/>
      <c r="G77" s="19" t="n"/>
      <c r="H77" s="19" t="n"/>
      <c r="I77" s="21" t="n"/>
      <c r="J77" s="21" t="n"/>
      <c r="K77" s="22">
        <f>IF(I77="","",MAX(0,I77-J77))</f>
        <v/>
      </c>
      <c r="L77" s="19" t="n"/>
      <c r="M77" s="18" t="n"/>
      <c r="N77" s="19" t="n"/>
      <c r="O77" s="24">
        <f>IF(OR(C77="",D77=""),"",C77&amp;"|"&amp;D77&amp;"|"&amp;TEXT(I77,"0.00"))</f>
        <v/>
      </c>
      <c r="P77" s="24">
        <f>IF(OR(F77="",K77=0),0,MAX(0,TODAY()-F77))</f>
        <v/>
      </c>
      <c r="Q77" s="24">
        <f>IF(OR(L77="Paid",L77="Cancelled",F77=""),"",IF(F77&lt;TODAY(),"OVERDUE",IF(F77&lt;=TODAY()+'Setup &amp; Lists'!$M$7,"DUE SOON","")))</f>
        <v/>
      </c>
      <c r="R77" s="18" t="n"/>
    </row>
    <row r="78">
      <c r="A78" s="19" t="n"/>
      <c r="B78" s="18" t="n"/>
      <c r="C78" s="19" t="n"/>
      <c r="D78" s="19" t="n"/>
      <c r="E78" s="20" t="n"/>
      <c r="F78" s="20" t="n"/>
      <c r="G78" s="19" t="n"/>
      <c r="H78" s="19" t="n"/>
      <c r="I78" s="21" t="n"/>
      <c r="J78" s="21" t="n"/>
      <c r="K78" s="22">
        <f>IF(I78="","",MAX(0,I78-J78))</f>
        <v/>
      </c>
      <c r="L78" s="19" t="n"/>
      <c r="M78" s="18" t="n"/>
      <c r="N78" s="19" t="n"/>
      <c r="O78" s="24">
        <f>IF(OR(C78="",D78=""),"",C78&amp;"|"&amp;D78&amp;"|"&amp;TEXT(I78,"0.00"))</f>
        <v/>
      </c>
      <c r="P78" s="24">
        <f>IF(OR(F78="",K78=0),0,MAX(0,TODAY()-F78))</f>
        <v/>
      </c>
      <c r="Q78" s="24">
        <f>IF(OR(L78="Paid",L78="Cancelled",F78=""),"",IF(F78&lt;TODAY(),"OVERDUE",IF(F78&lt;=TODAY()+'Setup &amp; Lists'!$M$7,"DUE SOON","")))</f>
        <v/>
      </c>
      <c r="R78" s="18" t="n"/>
    </row>
    <row r="79">
      <c r="A79" s="19" t="n"/>
      <c r="B79" s="18" t="n"/>
      <c r="C79" s="19" t="n"/>
      <c r="D79" s="19" t="n"/>
      <c r="E79" s="20" t="n"/>
      <c r="F79" s="20" t="n"/>
      <c r="G79" s="19" t="n"/>
      <c r="H79" s="19" t="n"/>
      <c r="I79" s="21" t="n"/>
      <c r="J79" s="21" t="n"/>
      <c r="K79" s="22">
        <f>IF(I79="","",MAX(0,I79-J79))</f>
        <v/>
      </c>
      <c r="L79" s="19" t="n"/>
      <c r="M79" s="18" t="n"/>
      <c r="N79" s="19" t="n"/>
      <c r="O79" s="24">
        <f>IF(OR(C79="",D79=""),"",C79&amp;"|"&amp;D79&amp;"|"&amp;TEXT(I79,"0.00"))</f>
        <v/>
      </c>
      <c r="P79" s="24">
        <f>IF(OR(F79="",K79=0),0,MAX(0,TODAY()-F79))</f>
        <v/>
      </c>
      <c r="Q79" s="24">
        <f>IF(OR(L79="Paid",L79="Cancelled",F79=""),"",IF(F79&lt;TODAY(),"OVERDUE",IF(F79&lt;=TODAY()+'Setup &amp; Lists'!$M$7,"DUE SOON","")))</f>
        <v/>
      </c>
      <c r="R79" s="18" t="n"/>
    </row>
    <row r="80">
      <c r="A80" s="19" t="n"/>
      <c r="B80" s="18" t="n"/>
      <c r="C80" s="19" t="n"/>
      <c r="D80" s="19" t="n"/>
      <c r="E80" s="20" t="n"/>
      <c r="F80" s="20" t="n"/>
      <c r="G80" s="19" t="n"/>
      <c r="H80" s="19" t="n"/>
      <c r="I80" s="21" t="n"/>
      <c r="J80" s="21" t="n"/>
      <c r="K80" s="22">
        <f>IF(I80="","",MAX(0,I80-J80))</f>
        <v/>
      </c>
      <c r="L80" s="19" t="n"/>
      <c r="M80" s="18" t="n"/>
      <c r="N80" s="19" t="n"/>
      <c r="O80" s="24">
        <f>IF(OR(C80="",D80=""),"",C80&amp;"|"&amp;D80&amp;"|"&amp;TEXT(I80,"0.00"))</f>
        <v/>
      </c>
      <c r="P80" s="24">
        <f>IF(OR(F80="",K80=0),0,MAX(0,TODAY()-F80))</f>
        <v/>
      </c>
      <c r="Q80" s="24">
        <f>IF(OR(L80="Paid",L80="Cancelled",F80=""),"",IF(F80&lt;TODAY(),"OVERDUE",IF(F80&lt;=TODAY()+'Setup &amp; Lists'!$M$7,"DUE SOON","")))</f>
        <v/>
      </c>
      <c r="R80" s="18" t="n"/>
    </row>
    <row r="81">
      <c r="A81" s="19" t="n"/>
      <c r="B81" s="18" t="n"/>
      <c r="C81" s="19" t="n"/>
      <c r="D81" s="19" t="n"/>
      <c r="E81" s="20" t="n"/>
      <c r="F81" s="20" t="n"/>
      <c r="G81" s="19" t="n"/>
      <c r="H81" s="19" t="n"/>
      <c r="I81" s="21" t="n"/>
      <c r="J81" s="21" t="n"/>
      <c r="K81" s="22">
        <f>IF(I81="","",MAX(0,I81-J81))</f>
        <v/>
      </c>
      <c r="L81" s="19" t="n"/>
      <c r="M81" s="18" t="n"/>
      <c r="N81" s="19" t="n"/>
      <c r="O81" s="24">
        <f>IF(OR(C81="",D81=""),"",C81&amp;"|"&amp;D81&amp;"|"&amp;TEXT(I81,"0.00"))</f>
        <v/>
      </c>
      <c r="P81" s="24">
        <f>IF(OR(F81="",K81=0),0,MAX(0,TODAY()-F81))</f>
        <v/>
      </c>
      <c r="Q81" s="24">
        <f>IF(OR(L81="Paid",L81="Cancelled",F81=""),"",IF(F81&lt;TODAY(),"OVERDUE",IF(F81&lt;=TODAY()+'Setup &amp; Lists'!$M$7,"DUE SOON","")))</f>
        <v/>
      </c>
      <c r="R81" s="18" t="n"/>
    </row>
    <row r="82">
      <c r="A82" s="19" t="n"/>
      <c r="B82" s="18" t="n"/>
      <c r="C82" s="19" t="n"/>
      <c r="D82" s="19" t="n"/>
      <c r="E82" s="20" t="n"/>
      <c r="F82" s="20" t="n"/>
      <c r="G82" s="19" t="n"/>
      <c r="H82" s="19" t="n"/>
      <c r="I82" s="21" t="n"/>
      <c r="J82" s="21" t="n"/>
      <c r="K82" s="22">
        <f>IF(I82="","",MAX(0,I82-J82))</f>
        <v/>
      </c>
      <c r="L82" s="19" t="n"/>
      <c r="M82" s="18" t="n"/>
      <c r="N82" s="19" t="n"/>
      <c r="O82" s="24">
        <f>IF(OR(C82="",D82=""),"",C82&amp;"|"&amp;D82&amp;"|"&amp;TEXT(I82,"0.00"))</f>
        <v/>
      </c>
      <c r="P82" s="24">
        <f>IF(OR(F82="",K82=0),0,MAX(0,TODAY()-F82))</f>
        <v/>
      </c>
      <c r="Q82" s="24">
        <f>IF(OR(L82="Paid",L82="Cancelled",F82=""),"",IF(F82&lt;TODAY(),"OVERDUE",IF(F82&lt;=TODAY()+'Setup &amp; Lists'!$M$7,"DUE SOON","")))</f>
        <v/>
      </c>
      <c r="R82" s="18" t="n"/>
    </row>
    <row r="83">
      <c r="A83" s="19" t="n"/>
      <c r="B83" s="18" t="n"/>
      <c r="C83" s="19" t="n"/>
      <c r="D83" s="19" t="n"/>
      <c r="E83" s="20" t="n"/>
      <c r="F83" s="20" t="n"/>
      <c r="G83" s="19" t="n"/>
      <c r="H83" s="19" t="n"/>
      <c r="I83" s="21" t="n"/>
      <c r="J83" s="21" t="n"/>
      <c r="K83" s="22">
        <f>IF(I83="","",MAX(0,I83-J83))</f>
        <v/>
      </c>
      <c r="L83" s="19" t="n"/>
      <c r="M83" s="18" t="n"/>
      <c r="N83" s="19" t="n"/>
      <c r="O83" s="24">
        <f>IF(OR(C83="",D83=""),"",C83&amp;"|"&amp;D83&amp;"|"&amp;TEXT(I83,"0.00"))</f>
        <v/>
      </c>
      <c r="P83" s="24">
        <f>IF(OR(F83="",K83=0),0,MAX(0,TODAY()-F83))</f>
        <v/>
      </c>
      <c r="Q83" s="24">
        <f>IF(OR(L83="Paid",L83="Cancelled",F83=""),"",IF(F83&lt;TODAY(),"OVERDUE",IF(F83&lt;=TODAY()+'Setup &amp; Lists'!$M$7,"DUE SOON","")))</f>
        <v/>
      </c>
      <c r="R83" s="18" t="n"/>
    </row>
    <row r="84">
      <c r="A84" s="19" t="n"/>
      <c r="B84" s="18" t="n"/>
      <c r="C84" s="19" t="n"/>
      <c r="D84" s="19" t="n"/>
      <c r="E84" s="20" t="n"/>
      <c r="F84" s="20" t="n"/>
      <c r="G84" s="19" t="n"/>
      <c r="H84" s="19" t="n"/>
      <c r="I84" s="21" t="n"/>
      <c r="J84" s="21" t="n"/>
      <c r="K84" s="22">
        <f>IF(I84="","",MAX(0,I84-J84))</f>
        <v/>
      </c>
      <c r="L84" s="19" t="n"/>
      <c r="M84" s="18" t="n"/>
      <c r="N84" s="19" t="n"/>
      <c r="O84" s="24">
        <f>IF(OR(C84="",D84=""),"",C84&amp;"|"&amp;D84&amp;"|"&amp;TEXT(I84,"0.00"))</f>
        <v/>
      </c>
      <c r="P84" s="24">
        <f>IF(OR(F84="",K84=0),0,MAX(0,TODAY()-F84))</f>
        <v/>
      </c>
      <c r="Q84" s="24">
        <f>IF(OR(L84="Paid",L84="Cancelled",F84=""),"",IF(F84&lt;TODAY(),"OVERDUE",IF(F84&lt;=TODAY()+'Setup &amp; Lists'!$M$7,"DUE SOON","")))</f>
        <v/>
      </c>
      <c r="R84" s="18" t="n"/>
    </row>
    <row r="85">
      <c r="A85" s="19" t="n"/>
      <c r="B85" s="18" t="n"/>
      <c r="C85" s="19" t="n"/>
      <c r="D85" s="19" t="n"/>
      <c r="E85" s="20" t="n"/>
      <c r="F85" s="20" t="n"/>
      <c r="G85" s="19" t="n"/>
      <c r="H85" s="19" t="n"/>
      <c r="I85" s="21" t="n"/>
      <c r="J85" s="21" t="n"/>
      <c r="K85" s="22">
        <f>IF(I85="","",MAX(0,I85-J85))</f>
        <v/>
      </c>
      <c r="L85" s="19" t="n"/>
      <c r="M85" s="18" t="n"/>
      <c r="N85" s="19" t="n"/>
      <c r="O85" s="24">
        <f>IF(OR(C85="",D85=""),"",C85&amp;"|"&amp;D85&amp;"|"&amp;TEXT(I85,"0.00"))</f>
        <v/>
      </c>
      <c r="P85" s="24">
        <f>IF(OR(F85="",K85=0),0,MAX(0,TODAY()-F85))</f>
        <v/>
      </c>
      <c r="Q85" s="24">
        <f>IF(OR(L85="Paid",L85="Cancelled",F85=""),"",IF(F85&lt;TODAY(),"OVERDUE",IF(F85&lt;=TODAY()+'Setup &amp; Lists'!$M$7,"DUE SOON","")))</f>
        <v/>
      </c>
      <c r="R85" s="18" t="n"/>
    </row>
    <row r="86">
      <c r="A86" s="19" t="n"/>
      <c r="B86" s="18" t="n"/>
      <c r="C86" s="19" t="n"/>
      <c r="D86" s="19" t="n"/>
      <c r="E86" s="20" t="n"/>
      <c r="F86" s="20" t="n"/>
      <c r="G86" s="19" t="n"/>
      <c r="H86" s="19" t="n"/>
      <c r="I86" s="21" t="n"/>
      <c r="J86" s="21" t="n"/>
      <c r="K86" s="22">
        <f>IF(I86="","",MAX(0,I86-J86))</f>
        <v/>
      </c>
      <c r="L86" s="19" t="n"/>
      <c r="M86" s="18" t="n"/>
      <c r="N86" s="19" t="n"/>
      <c r="O86" s="24">
        <f>IF(OR(C86="",D86=""),"",C86&amp;"|"&amp;D86&amp;"|"&amp;TEXT(I86,"0.00"))</f>
        <v/>
      </c>
      <c r="P86" s="24">
        <f>IF(OR(F86="",K86=0),0,MAX(0,TODAY()-F86))</f>
        <v/>
      </c>
      <c r="Q86" s="24">
        <f>IF(OR(L86="Paid",L86="Cancelled",F86=""),"",IF(F86&lt;TODAY(),"OVERDUE",IF(F86&lt;=TODAY()+'Setup &amp; Lists'!$M$7,"DUE SOON","")))</f>
        <v/>
      </c>
      <c r="R86" s="18" t="n"/>
    </row>
    <row r="87">
      <c r="A87" s="19" t="n"/>
      <c r="B87" s="18" t="n"/>
      <c r="C87" s="19" t="n"/>
      <c r="D87" s="19" t="n"/>
      <c r="E87" s="20" t="n"/>
      <c r="F87" s="20" t="n"/>
      <c r="G87" s="19" t="n"/>
      <c r="H87" s="19" t="n"/>
      <c r="I87" s="21" t="n"/>
      <c r="J87" s="21" t="n"/>
      <c r="K87" s="22">
        <f>IF(I87="","",MAX(0,I87-J87))</f>
        <v/>
      </c>
      <c r="L87" s="19" t="n"/>
      <c r="M87" s="18" t="n"/>
      <c r="N87" s="19" t="n"/>
      <c r="O87" s="24">
        <f>IF(OR(C87="",D87=""),"",C87&amp;"|"&amp;D87&amp;"|"&amp;TEXT(I87,"0.00"))</f>
        <v/>
      </c>
      <c r="P87" s="24">
        <f>IF(OR(F87="",K87=0),0,MAX(0,TODAY()-F87))</f>
        <v/>
      </c>
      <c r="Q87" s="24">
        <f>IF(OR(L87="Paid",L87="Cancelled",F87=""),"",IF(F87&lt;TODAY(),"OVERDUE",IF(F87&lt;=TODAY()+'Setup &amp; Lists'!$M$7,"DUE SOON","")))</f>
        <v/>
      </c>
      <c r="R87" s="18" t="n"/>
    </row>
    <row r="88">
      <c r="A88" s="19" t="n"/>
      <c r="B88" s="18" t="n"/>
      <c r="C88" s="19" t="n"/>
      <c r="D88" s="19" t="n"/>
      <c r="E88" s="20" t="n"/>
      <c r="F88" s="20" t="n"/>
      <c r="G88" s="19" t="n"/>
      <c r="H88" s="19" t="n"/>
      <c r="I88" s="21" t="n"/>
      <c r="J88" s="21" t="n"/>
      <c r="K88" s="22">
        <f>IF(I88="","",MAX(0,I88-J88))</f>
        <v/>
      </c>
      <c r="L88" s="19" t="n"/>
      <c r="M88" s="18" t="n"/>
      <c r="N88" s="19" t="n"/>
      <c r="O88" s="24">
        <f>IF(OR(C88="",D88=""),"",C88&amp;"|"&amp;D88&amp;"|"&amp;TEXT(I88,"0.00"))</f>
        <v/>
      </c>
      <c r="P88" s="24">
        <f>IF(OR(F88="",K88=0),0,MAX(0,TODAY()-F88))</f>
        <v/>
      </c>
      <c r="Q88" s="24">
        <f>IF(OR(L88="Paid",L88="Cancelled",F88=""),"",IF(F88&lt;TODAY(),"OVERDUE",IF(F88&lt;=TODAY()+'Setup &amp; Lists'!$M$7,"DUE SOON","")))</f>
        <v/>
      </c>
      <c r="R88" s="18" t="n"/>
    </row>
    <row r="89">
      <c r="A89" s="19" t="n"/>
      <c r="B89" s="18" t="n"/>
      <c r="C89" s="19" t="n"/>
      <c r="D89" s="19" t="n"/>
      <c r="E89" s="20" t="n"/>
      <c r="F89" s="20" t="n"/>
      <c r="G89" s="19" t="n"/>
      <c r="H89" s="19" t="n"/>
      <c r="I89" s="21" t="n"/>
      <c r="J89" s="21" t="n"/>
      <c r="K89" s="22">
        <f>IF(I89="","",MAX(0,I89-J89))</f>
        <v/>
      </c>
      <c r="L89" s="19" t="n"/>
      <c r="M89" s="18" t="n"/>
      <c r="N89" s="19" t="n"/>
      <c r="O89" s="24">
        <f>IF(OR(C89="",D89=""),"",C89&amp;"|"&amp;D89&amp;"|"&amp;TEXT(I89,"0.00"))</f>
        <v/>
      </c>
      <c r="P89" s="24">
        <f>IF(OR(F89="",K89=0),0,MAX(0,TODAY()-F89))</f>
        <v/>
      </c>
      <c r="Q89" s="24">
        <f>IF(OR(L89="Paid",L89="Cancelled",F89=""),"",IF(F89&lt;TODAY(),"OVERDUE",IF(F89&lt;=TODAY()+'Setup &amp; Lists'!$M$7,"DUE SOON","")))</f>
        <v/>
      </c>
      <c r="R89" s="18" t="n"/>
    </row>
    <row r="90">
      <c r="A90" s="19" t="n"/>
      <c r="B90" s="18" t="n"/>
      <c r="C90" s="19" t="n"/>
      <c r="D90" s="19" t="n"/>
      <c r="E90" s="20" t="n"/>
      <c r="F90" s="20" t="n"/>
      <c r="G90" s="19" t="n"/>
      <c r="H90" s="19" t="n"/>
      <c r="I90" s="21" t="n"/>
      <c r="J90" s="21" t="n"/>
      <c r="K90" s="22">
        <f>IF(I90="","",MAX(0,I90-J90))</f>
        <v/>
      </c>
      <c r="L90" s="19" t="n"/>
      <c r="M90" s="18" t="n"/>
      <c r="N90" s="19" t="n"/>
      <c r="O90" s="24">
        <f>IF(OR(C90="",D90=""),"",C90&amp;"|"&amp;D90&amp;"|"&amp;TEXT(I90,"0.00"))</f>
        <v/>
      </c>
      <c r="P90" s="24">
        <f>IF(OR(F90="",K90=0),0,MAX(0,TODAY()-F90))</f>
        <v/>
      </c>
      <c r="Q90" s="24">
        <f>IF(OR(L90="Paid",L90="Cancelled",F90=""),"",IF(F90&lt;TODAY(),"OVERDUE",IF(F90&lt;=TODAY()+'Setup &amp; Lists'!$M$7,"DUE SOON","")))</f>
        <v/>
      </c>
      <c r="R90" s="18" t="n"/>
    </row>
    <row r="91">
      <c r="A91" s="19" t="n"/>
      <c r="B91" s="18" t="n"/>
      <c r="C91" s="19" t="n"/>
      <c r="D91" s="19" t="n"/>
      <c r="E91" s="20" t="n"/>
      <c r="F91" s="20" t="n"/>
      <c r="G91" s="19" t="n"/>
      <c r="H91" s="19" t="n"/>
      <c r="I91" s="21" t="n"/>
      <c r="J91" s="21" t="n"/>
      <c r="K91" s="22">
        <f>IF(I91="","",MAX(0,I91-J91))</f>
        <v/>
      </c>
      <c r="L91" s="19" t="n"/>
      <c r="M91" s="18" t="n"/>
      <c r="N91" s="19" t="n"/>
      <c r="O91" s="24">
        <f>IF(OR(C91="",D91=""),"",C91&amp;"|"&amp;D91&amp;"|"&amp;TEXT(I91,"0.00"))</f>
        <v/>
      </c>
      <c r="P91" s="24">
        <f>IF(OR(F91="",K91=0),0,MAX(0,TODAY()-F91))</f>
        <v/>
      </c>
      <c r="Q91" s="24">
        <f>IF(OR(L91="Paid",L91="Cancelled",F91=""),"",IF(F91&lt;TODAY(),"OVERDUE",IF(F91&lt;=TODAY()+'Setup &amp; Lists'!$M$7,"DUE SOON","")))</f>
        <v/>
      </c>
      <c r="R91" s="18" t="n"/>
    </row>
    <row r="92">
      <c r="A92" s="19" t="n"/>
      <c r="B92" s="18" t="n"/>
      <c r="C92" s="19" t="n"/>
      <c r="D92" s="19" t="n"/>
      <c r="E92" s="20" t="n"/>
      <c r="F92" s="20" t="n"/>
      <c r="G92" s="19" t="n"/>
      <c r="H92" s="19" t="n"/>
      <c r="I92" s="21" t="n"/>
      <c r="J92" s="21" t="n"/>
      <c r="K92" s="22">
        <f>IF(I92="","",MAX(0,I92-J92))</f>
        <v/>
      </c>
      <c r="L92" s="19" t="n"/>
      <c r="M92" s="18" t="n"/>
      <c r="N92" s="19" t="n"/>
      <c r="O92" s="24">
        <f>IF(OR(C92="",D92=""),"",C92&amp;"|"&amp;D92&amp;"|"&amp;TEXT(I92,"0.00"))</f>
        <v/>
      </c>
      <c r="P92" s="24">
        <f>IF(OR(F92="",K92=0),0,MAX(0,TODAY()-F92))</f>
        <v/>
      </c>
      <c r="Q92" s="24">
        <f>IF(OR(L92="Paid",L92="Cancelled",F92=""),"",IF(F92&lt;TODAY(),"OVERDUE",IF(F92&lt;=TODAY()+'Setup &amp; Lists'!$M$7,"DUE SOON","")))</f>
        <v/>
      </c>
      <c r="R92" s="18" t="n"/>
    </row>
    <row r="93">
      <c r="A93" s="19" t="n"/>
      <c r="B93" s="18" t="n"/>
      <c r="C93" s="19" t="n"/>
      <c r="D93" s="19" t="n"/>
      <c r="E93" s="20" t="n"/>
      <c r="F93" s="20" t="n"/>
      <c r="G93" s="19" t="n"/>
      <c r="H93" s="19" t="n"/>
      <c r="I93" s="21" t="n"/>
      <c r="J93" s="21" t="n"/>
      <c r="K93" s="22">
        <f>IF(I93="","",MAX(0,I93-J93))</f>
        <v/>
      </c>
      <c r="L93" s="19" t="n"/>
      <c r="M93" s="18" t="n"/>
      <c r="N93" s="19" t="n"/>
      <c r="O93" s="24">
        <f>IF(OR(C93="",D93=""),"",C93&amp;"|"&amp;D93&amp;"|"&amp;TEXT(I93,"0.00"))</f>
        <v/>
      </c>
      <c r="P93" s="24">
        <f>IF(OR(F93="",K93=0),0,MAX(0,TODAY()-F93))</f>
        <v/>
      </c>
      <c r="Q93" s="24">
        <f>IF(OR(L93="Paid",L93="Cancelled",F93=""),"",IF(F93&lt;TODAY(),"OVERDUE",IF(F93&lt;=TODAY()+'Setup &amp; Lists'!$M$7,"DUE SOON","")))</f>
        <v/>
      </c>
      <c r="R93" s="18" t="n"/>
    </row>
    <row r="94">
      <c r="A94" s="19" t="n"/>
      <c r="B94" s="18" t="n"/>
      <c r="C94" s="19" t="n"/>
      <c r="D94" s="19" t="n"/>
      <c r="E94" s="20" t="n"/>
      <c r="F94" s="20" t="n"/>
      <c r="G94" s="19" t="n"/>
      <c r="H94" s="19" t="n"/>
      <c r="I94" s="21" t="n"/>
      <c r="J94" s="21" t="n"/>
      <c r="K94" s="22">
        <f>IF(I94="","",MAX(0,I94-J94))</f>
        <v/>
      </c>
      <c r="L94" s="19" t="n"/>
      <c r="M94" s="18" t="n"/>
      <c r="N94" s="19" t="n"/>
      <c r="O94" s="24">
        <f>IF(OR(C94="",D94=""),"",C94&amp;"|"&amp;D94&amp;"|"&amp;TEXT(I94,"0.00"))</f>
        <v/>
      </c>
      <c r="P94" s="24">
        <f>IF(OR(F94="",K94=0),0,MAX(0,TODAY()-F94))</f>
        <v/>
      </c>
      <c r="Q94" s="24">
        <f>IF(OR(L94="Paid",L94="Cancelled",F94=""),"",IF(F94&lt;TODAY(),"OVERDUE",IF(F94&lt;=TODAY()+'Setup &amp; Lists'!$M$7,"DUE SOON","")))</f>
        <v/>
      </c>
      <c r="R94" s="18" t="n"/>
    </row>
    <row r="95">
      <c r="A95" s="19" t="n"/>
      <c r="B95" s="18" t="n"/>
      <c r="C95" s="19" t="n"/>
      <c r="D95" s="19" t="n"/>
      <c r="E95" s="20" t="n"/>
      <c r="F95" s="20" t="n"/>
      <c r="G95" s="19" t="n"/>
      <c r="H95" s="19" t="n"/>
      <c r="I95" s="21" t="n"/>
      <c r="J95" s="21" t="n"/>
      <c r="K95" s="22">
        <f>IF(I95="","",MAX(0,I95-J95))</f>
        <v/>
      </c>
      <c r="L95" s="19" t="n"/>
      <c r="M95" s="18" t="n"/>
      <c r="N95" s="19" t="n"/>
      <c r="O95" s="24">
        <f>IF(OR(C95="",D95=""),"",C95&amp;"|"&amp;D95&amp;"|"&amp;TEXT(I95,"0.00"))</f>
        <v/>
      </c>
      <c r="P95" s="24">
        <f>IF(OR(F95="",K95=0),0,MAX(0,TODAY()-F95))</f>
        <v/>
      </c>
      <c r="Q95" s="24">
        <f>IF(OR(L95="Paid",L95="Cancelled",F95=""),"",IF(F95&lt;TODAY(),"OVERDUE",IF(F95&lt;=TODAY()+'Setup &amp; Lists'!$M$7,"DUE SOON","")))</f>
        <v/>
      </c>
      <c r="R95" s="18" t="n"/>
    </row>
    <row r="96">
      <c r="A96" s="19" t="n"/>
      <c r="B96" s="18" t="n"/>
      <c r="C96" s="19" t="n"/>
      <c r="D96" s="19" t="n"/>
      <c r="E96" s="20" t="n"/>
      <c r="F96" s="20" t="n"/>
      <c r="G96" s="19" t="n"/>
      <c r="H96" s="19" t="n"/>
      <c r="I96" s="21" t="n"/>
      <c r="J96" s="21" t="n"/>
      <c r="K96" s="22">
        <f>IF(I96="","",MAX(0,I96-J96))</f>
        <v/>
      </c>
      <c r="L96" s="19" t="n"/>
      <c r="M96" s="18" t="n"/>
      <c r="N96" s="19" t="n"/>
      <c r="O96" s="24">
        <f>IF(OR(C96="",D96=""),"",C96&amp;"|"&amp;D96&amp;"|"&amp;TEXT(I96,"0.00"))</f>
        <v/>
      </c>
      <c r="P96" s="24">
        <f>IF(OR(F96="",K96=0),0,MAX(0,TODAY()-F96))</f>
        <v/>
      </c>
      <c r="Q96" s="24">
        <f>IF(OR(L96="Paid",L96="Cancelled",F96=""),"",IF(F96&lt;TODAY(),"OVERDUE",IF(F96&lt;=TODAY()+'Setup &amp; Lists'!$M$7,"DUE SOON","")))</f>
        <v/>
      </c>
      <c r="R96" s="18" t="n"/>
    </row>
    <row r="97">
      <c r="A97" s="19" t="n"/>
      <c r="B97" s="18" t="n"/>
      <c r="C97" s="19" t="n"/>
      <c r="D97" s="19" t="n"/>
      <c r="E97" s="20" t="n"/>
      <c r="F97" s="20" t="n"/>
      <c r="G97" s="19" t="n"/>
      <c r="H97" s="19" t="n"/>
      <c r="I97" s="21" t="n"/>
      <c r="J97" s="21" t="n"/>
      <c r="K97" s="22">
        <f>IF(I97="","",MAX(0,I97-J97))</f>
        <v/>
      </c>
      <c r="L97" s="19" t="n"/>
      <c r="M97" s="18" t="n"/>
      <c r="N97" s="19" t="n"/>
      <c r="O97" s="24">
        <f>IF(OR(C97="",D97=""),"",C97&amp;"|"&amp;D97&amp;"|"&amp;TEXT(I97,"0.00"))</f>
        <v/>
      </c>
      <c r="P97" s="24">
        <f>IF(OR(F97="",K97=0),0,MAX(0,TODAY()-F97))</f>
        <v/>
      </c>
      <c r="Q97" s="24">
        <f>IF(OR(L97="Paid",L97="Cancelled",F97=""),"",IF(F97&lt;TODAY(),"OVERDUE",IF(F97&lt;=TODAY()+'Setup &amp; Lists'!$M$7,"DUE SOON","")))</f>
        <v/>
      </c>
      <c r="R97" s="18" t="n"/>
    </row>
    <row r="98">
      <c r="A98" s="19" t="n"/>
      <c r="B98" s="18" t="n"/>
      <c r="C98" s="19" t="n"/>
      <c r="D98" s="19" t="n"/>
      <c r="E98" s="20" t="n"/>
      <c r="F98" s="20" t="n"/>
      <c r="G98" s="19" t="n"/>
      <c r="H98" s="19" t="n"/>
      <c r="I98" s="21" t="n"/>
      <c r="J98" s="21" t="n"/>
      <c r="K98" s="22">
        <f>IF(I98="","",MAX(0,I98-J98))</f>
        <v/>
      </c>
      <c r="L98" s="19" t="n"/>
      <c r="M98" s="18" t="n"/>
      <c r="N98" s="19" t="n"/>
      <c r="O98" s="24">
        <f>IF(OR(C98="",D98=""),"",C98&amp;"|"&amp;D98&amp;"|"&amp;TEXT(I98,"0.00"))</f>
        <v/>
      </c>
      <c r="P98" s="24">
        <f>IF(OR(F98="",K98=0),0,MAX(0,TODAY()-F98))</f>
        <v/>
      </c>
      <c r="Q98" s="24">
        <f>IF(OR(L98="Paid",L98="Cancelled",F98=""),"",IF(F98&lt;TODAY(),"OVERDUE",IF(F98&lt;=TODAY()+'Setup &amp; Lists'!$M$7,"DUE SOON","")))</f>
        <v/>
      </c>
      <c r="R98" s="18" t="n"/>
    </row>
    <row r="99">
      <c r="A99" s="19" t="n"/>
      <c r="B99" s="18" t="n"/>
      <c r="C99" s="19" t="n"/>
      <c r="D99" s="19" t="n"/>
      <c r="E99" s="20" t="n"/>
      <c r="F99" s="20" t="n"/>
      <c r="G99" s="19" t="n"/>
      <c r="H99" s="19" t="n"/>
      <c r="I99" s="21" t="n"/>
      <c r="J99" s="21" t="n"/>
      <c r="K99" s="22">
        <f>IF(I99="","",MAX(0,I99-J99))</f>
        <v/>
      </c>
      <c r="L99" s="19" t="n"/>
      <c r="M99" s="18" t="n"/>
      <c r="N99" s="19" t="n"/>
      <c r="O99" s="24">
        <f>IF(OR(C99="",D99=""),"",C99&amp;"|"&amp;D99&amp;"|"&amp;TEXT(I99,"0.00"))</f>
        <v/>
      </c>
      <c r="P99" s="24">
        <f>IF(OR(F99="",K99=0),0,MAX(0,TODAY()-F99))</f>
        <v/>
      </c>
      <c r="Q99" s="24">
        <f>IF(OR(L99="Paid",L99="Cancelled",F99=""),"",IF(F99&lt;TODAY(),"OVERDUE",IF(F99&lt;=TODAY()+'Setup &amp; Lists'!$M$7,"DUE SOON","")))</f>
        <v/>
      </c>
      <c r="R99" s="18" t="n"/>
    </row>
    <row r="100">
      <c r="A100" s="19" t="n"/>
      <c r="B100" s="18" t="n"/>
      <c r="C100" s="19" t="n"/>
      <c r="D100" s="19" t="n"/>
      <c r="E100" s="20" t="n"/>
      <c r="F100" s="20" t="n"/>
      <c r="G100" s="19" t="n"/>
      <c r="H100" s="19" t="n"/>
      <c r="I100" s="21" t="n"/>
      <c r="J100" s="21" t="n"/>
      <c r="K100" s="22">
        <f>IF(I100="","",MAX(0,I100-J100))</f>
        <v/>
      </c>
      <c r="L100" s="19" t="n"/>
      <c r="M100" s="18" t="n"/>
      <c r="N100" s="19" t="n"/>
      <c r="O100" s="24">
        <f>IF(OR(C100="",D100=""),"",C100&amp;"|"&amp;D100&amp;"|"&amp;TEXT(I100,"0.00"))</f>
        <v/>
      </c>
      <c r="P100" s="24">
        <f>IF(OR(F100="",K100=0),0,MAX(0,TODAY()-F100))</f>
        <v/>
      </c>
      <c r="Q100" s="24">
        <f>IF(OR(L100="Paid",L100="Cancelled",F100=""),"",IF(F100&lt;TODAY(),"OVERDUE",IF(F100&lt;=TODAY()+'Setup &amp; Lists'!$M$7,"DUE SOON","")))</f>
        <v/>
      </c>
      <c r="R100" s="18" t="n"/>
    </row>
    <row r="101">
      <c r="A101" s="19" t="n"/>
      <c r="B101" s="18" t="n"/>
      <c r="C101" s="19" t="n"/>
      <c r="D101" s="19" t="n"/>
      <c r="E101" s="20" t="n"/>
      <c r="F101" s="20" t="n"/>
      <c r="G101" s="19" t="n"/>
      <c r="H101" s="19" t="n"/>
      <c r="I101" s="21" t="n"/>
      <c r="J101" s="21" t="n"/>
      <c r="K101" s="22">
        <f>IF(I101="","",MAX(0,I101-J101))</f>
        <v/>
      </c>
      <c r="L101" s="19" t="n"/>
      <c r="M101" s="18" t="n"/>
      <c r="N101" s="19" t="n"/>
      <c r="O101" s="24">
        <f>IF(OR(C101="",D101=""),"",C101&amp;"|"&amp;D101&amp;"|"&amp;TEXT(I101,"0.00"))</f>
        <v/>
      </c>
      <c r="P101" s="24">
        <f>IF(OR(F101="",K101=0),0,MAX(0,TODAY()-F101))</f>
        <v/>
      </c>
      <c r="Q101" s="24">
        <f>IF(OR(L101="Paid",L101="Cancelled",F101=""),"",IF(F101&lt;TODAY(),"OVERDUE",IF(F101&lt;=TODAY()+'Setup &amp; Lists'!$M$7,"DUE SOON","")))</f>
        <v/>
      </c>
      <c r="R101" s="18" t="n"/>
    </row>
    <row r="102">
      <c r="A102" s="19" t="n"/>
      <c r="B102" s="18" t="n"/>
      <c r="C102" s="19" t="n"/>
      <c r="D102" s="19" t="n"/>
      <c r="E102" s="20" t="n"/>
      <c r="F102" s="20" t="n"/>
      <c r="G102" s="19" t="n"/>
      <c r="H102" s="19" t="n"/>
      <c r="I102" s="21" t="n"/>
      <c r="J102" s="21" t="n"/>
      <c r="K102" s="22">
        <f>IF(I102="","",MAX(0,I102-J102))</f>
        <v/>
      </c>
      <c r="L102" s="19" t="n"/>
      <c r="M102" s="18" t="n"/>
      <c r="N102" s="19" t="n"/>
      <c r="O102" s="24">
        <f>IF(OR(C102="",D102=""),"",C102&amp;"|"&amp;D102&amp;"|"&amp;TEXT(I102,"0.00"))</f>
        <v/>
      </c>
      <c r="P102" s="24">
        <f>IF(OR(F102="",K102=0),0,MAX(0,TODAY()-F102))</f>
        <v/>
      </c>
      <c r="Q102" s="24">
        <f>IF(OR(L102="Paid",L102="Cancelled",F102=""),"",IF(F102&lt;TODAY(),"OVERDUE",IF(F102&lt;=TODAY()+'Setup &amp; Lists'!$M$7,"DUE SOON","")))</f>
        <v/>
      </c>
      <c r="R102" s="18" t="n"/>
    </row>
    <row r="103">
      <c r="A103" s="19" t="n"/>
      <c r="B103" s="18" t="n"/>
      <c r="C103" s="19" t="n"/>
      <c r="D103" s="19" t="n"/>
      <c r="E103" s="20" t="n"/>
      <c r="F103" s="20" t="n"/>
      <c r="G103" s="19" t="n"/>
      <c r="H103" s="19" t="n"/>
      <c r="I103" s="21" t="n"/>
      <c r="J103" s="21" t="n"/>
      <c r="K103" s="22">
        <f>IF(I103="","",MAX(0,I103-J103))</f>
        <v/>
      </c>
      <c r="L103" s="19" t="n"/>
      <c r="M103" s="18" t="n"/>
      <c r="N103" s="19" t="n"/>
      <c r="O103" s="24">
        <f>IF(OR(C103="",D103=""),"",C103&amp;"|"&amp;D103&amp;"|"&amp;TEXT(I103,"0.00"))</f>
        <v/>
      </c>
      <c r="P103" s="24">
        <f>IF(OR(F103="",K103=0),0,MAX(0,TODAY()-F103))</f>
        <v/>
      </c>
      <c r="Q103" s="24">
        <f>IF(OR(L103="Paid",L103="Cancelled",F103=""),"",IF(F103&lt;TODAY(),"OVERDUE",IF(F103&lt;=TODAY()+'Setup &amp; Lists'!$M$7,"DUE SOON","")))</f>
        <v/>
      </c>
      <c r="R103" s="18" t="n"/>
    </row>
    <row r="104">
      <c r="A104" s="19" t="n"/>
      <c r="B104" s="18" t="n"/>
      <c r="C104" s="19" t="n"/>
      <c r="D104" s="19" t="n"/>
      <c r="E104" s="20" t="n"/>
      <c r="F104" s="20" t="n"/>
      <c r="G104" s="19" t="n"/>
      <c r="H104" s="19" t="n"/>
      <c r="I104" s="21" t="n"/>
      <c r="J104" s="21" t="n"/>
      <c r="K104" s="22">
        <f>IF(I104="","",MAX(0,I104-J104))</f>
        <v/>
      </c>
      <c r="L104" s="19" t="n"/>
      <c r="M104" s="18" t="n"/>
      <c r="N104" s="19" t="n"/>
      <c r="O104" s="24">
        <f>IF(OR(C104="",D104=""),"",C104&amp;"|"&amp;D104&amp;"|"&amp;TEXT(I104,"0.00"))</f>
        <v/>
      </c>
      <c r="P104" s="24">
        <f>IF(OR(F104="",K104=0),0,MAX(0,TODAY()-F104))</f>
        <v/>
      </c>
      <c r="Q104" s="24">
        <f>IF(OR(L104="Paid",L104="Cancelled",F104=""),"",IF(F104&lt;TODAY(),"OVERDUE",IF(F104&lt;=TODAY()+'Setup &amp; Lists'!$M$7,"DUE SOON","")))</f>
        <v/>
      </c>
      <c r="R104" s="18" t="n"/>
    </row>
    <row r="105">
      <c r="A105" s="19" t="n"/>
      <c r="B105" s="18" t="n"/>
      <c r="C105" s="19" t="n"/>
      <c r="D105" s="19" t="n"/>
      <c r="E105" s="20" t="n"/>
      <c r="F105" s="20" t="n"/>
      <c r="G105" s="19" t="n"/>
      <c r="H105" s="19" t="n"/>
      <c r="I105" s="21" t="n"/>
      <c r="J105" s="21" t="n"/>
      <c r="K105" s="22">
        <f>IF(I105="","",MAX(0,I105-J105))</f>
        <v/>
      </c>
      <c r="L105" s="19" t="n"/>
      <c r="M105" s="18" t="n"/>
      <c r="N105" s="19" t="n"/>
      <c r="O105" s="24">
        <f>IF(OR(C105="",D105=""),"",C105&amp;"|"&amp;D105&amp;"|"&amp;TEXT(I105,"0.00"))</f>
        <v/>
      </c>
      <c r="P105" s="24">
        <f>IF(OR(F105="",K105=0),0,MAX(0,TODAY()-F105))</f>
        <v/>
      </c>
      <c r="Q105" s="24">
        <f>IF(OR(L105="Paid",L105="Cancelled",F105=""),"",IF(F105&lt;TODAY(),"OVERDUE",IF(F105&lt;=TODAY()+'Setup &amp; Lists'!$M$7,"DUE SOON","")))</f>
        <v/>
      </c>
      <c r="R105" s="18" t="n"/>
    </row>
    <row r="106">
      <c r="A106" s="19" t="n"/>
      <c r="B106" s="18" t="n"/>
      <c r="C106" s="19" t="n"/>
      <c r="D106" s="19" t="n"/>
      <c r="E106" s="20" t="n"/>
      <c r="F106" s="20" t="n"/>
      <c r="G106" s="19" t="n"/>
      <c r="H106" s="19" t="n"/>
      <c r="I106" s="21" t="n"/>
      <c r="J106" s="21" t="n"/>
      <c r="K106" s="22">
        <f>IF(I106="","",MAX(0,I106-J106))</f>
        <v/>
      </c>
      <c r="L106" s="19" t="n"/>
      <c r="M106" s="18" t="n"/>
      <c r="N106" s="19" t="n"/>
      <c r="O106" s="24">
        <f>IF(OR(C106="",D106=""),"",C106&amp;"|"&amp;D106&amp;"|"&amp;TEXT(I106,"0.00"))</f>
        <v/>
      </c>
      <c r="P106" s="24">
        <f>IF(OR(F106="",K106=0),0,MAX(0,TODAY()-F106))</f>
        <v/>
      </c>
      <c r="Q106" s="24">
        <f>IF(OR(L106="Paid",L106="Cancelled",F106=""),"",IF(F106&lt;TODAY(),"OVERDUE",IF(F106&lt;=TODAY()+'Setup &amp; Lists'!$M$7,"DUE SOON","")))</f>
        <v/>
      </c>
      <c r="R106" s="18" t="n"/>
    </row>
    <row r="107">
      <c r="A107" s="19" t="n"/>
      <c r="B107" s="18" t="n"/>
      <c r="C107" s="19" t="n"/>
      <c r="D107" s="19" t="n"/>
      <c r="E107" s="20" t="n"/>
      <c r="F107" s="20" t="n"/>
      <c r="G107" s="19" t="n"/>
      <c r="H107" s="19" t="n"/>
      <c r="I107" s="21" t="n"/>
      <c r="J107" s="21" t="n"/>
      <c r="K107" s="22">
        <f>IF(I107="","",MAX(0,I107-J107))</f>
        <v/>
      </c>
      <c r="L107" s="19" t="n"/>
      <c r="M107" s="18" t="n"/>
      <c r="N107" s="19" t="n"/>
      <c r="O107" s="24">
        <f>IF(OR(C107="",D107=""),"",C107&amp;"|"&amp;D107&amp;"|"&amp;TEXT(I107,"0.00"))</f>
        <v/>
      </c>
      <c r="P107" s="24">
        <f>IF(OR(F107="",K107=0),0,MAX(0,TODAY()-F107))</f>
        <v/>
      </c>
      <c r="Q107" s="24">
        <f>IF(OR(L107="Paid",L107="Cancelled",F107=""),"",IF(F107&lt;TODAY(),"OVERDUE",IF(F107&lt;=TODAY()+'Setup &amp; Lists'!$M$7,"DUE SOON","")))</f>
        <v/>
      </c>
      <c r="R107" s="18" t="n"/>
    </row>
    <row r="108">
      <c r="A108" s="19" t="n"/>
      <c r="B108" s="18" t="n"/>
      <c r="C108" s="19" t="n"/>
      <c r="D108" s="19" t="n"/>
      <c r="E108" s="20" t="n"/>
      <c r="F108" s="20" t="n"/>
      <c r="G108" s="19" t="n"/>
      <c r="H108" s="19" t="n"/>
      <c r="I108" s="21" t="n"/>
      <c r="J108" s="21" t="n"/>
      <c r="K108" s="22">
        <f>IF(I108="","",MAX(0,I108-J108))</f>
        <v/>
      </c>
      <c r="L108" s="19" t="n"/>
      <c r="M108" s="18" t="n"/>
      <c r="N108" s="19" t="n"/>
      <c r="O108" s="24">
        <f>IF(OR(C108="",D108=""),"",C108&amp;"|"&amp;D108&amp;"|"&amp;TEXT(I108,"0.00"))</f>
        <v/>
      </c>
      <c r="P108" s="24">
        <f>IF(OR(F108="",K108=0),0,MAX(0,TODAY()-F108))</f>
        <v/>
      </c>
      <c r="Q108" s="24">
        <f>IF(OR(L108="Paid",L108="Cancelled",F108=""),"",IF(F108&lt;TODAY(),"OVERDUE",IF(F108&lt;=TODAY()+'Setup &amp; Lists'!$M$7,"DUE SOON","")))</f>
        <v/>
      </c>
      <c r="R108" s="18" t="n"/>
    </row>
    <row r="109">
      <c r="A109" s="19" t="n"/>
      <c r="B109" s="18" t="n"/>
      <c r="C109" s="19" t="n"/>
      <c r="D109" s="19" t="n"/>
      <c r="E109" s="20" t="n"/>
      <c r="F109" s="20" t="n"/>
      <c r="G109" s="19" t="n"/>
      <c r="H109" s="19" t="n"/>
      <c r="I109" s="21" t="n"/>
      <c r="J109" s="21" t="n"/>
      <c r="K109" s="22">
        <f>IF(I109="","",MAX(0,I109-J109))</f>
        <v/>
      </c>
      <c r="L109" s="19" t="n"/>
      <c r="M109" s="18" t="n"/>
      <c r="N109" s="19" t="n"/>
      <c r="O109" s="24">
        <f>IF(OR(C109="",D109=""),"",C109&amp;"|"&amp;D109&amp;"|"&amp;TEXT(I109,"0.00"))</f>
        <v/>
      </c>
      <c r="P109" s="24">
        <f>IF(OR(F109="",K109=0),0,MAX(0,TODAY()-F109))</f>
        <v/>
      </c>
      <c r="Q109" s="24">
        <f>IF(OR(L109="Paid",L109="Cancelled",F109=""),"",IF(F109&lt;TODAY(),"OVERDUE",IF(F109&lt;=TODAY()+'Setup &amp; Lists'!$M$7,"DUE SOON","")))</f>
        <v/>
      </c>
      <c r="R109" s="18" t="n"/>
    </row>
    <row r="110">
      <c r="A110" s="19" t="n"/>
      <c r="B110" s="18" t="n"/>
      <c r="C110" s="19" t="n"/>
      <c r="D110" s="19" t="n"/>
      <c r="E110" s="20" t="n"/>
      <c r="F110" s="20" t="n"/>
      <c r="G110" s="19" t="n"/>
      <c r="H110" s="19" t="n"/>
      <c r="I110" s="21" t="n"/>
      <c r="J110" s="21" t="n"/>
      <c r="K110" s="22">
        <f>IF(I110="","",MAX(0,I110-J110))</f>
        <v/>
      </c>
      <c r="L110" s="19" t="n"/>
      <c r="M110" s="18" t="n"/>
      <c r="N110" s="19" t="n"/>
      <c r="O110" s="24">
        <f>IF(OR(C110="",D110=""),"",C110&amp;"|"&amp;D110&amp;"|"&amp;TEXT(I110,"0.00"))</f>
        <v/>
      </c>
      <c r="P110" s="24">
        <f>IF(OR(F110="",K110=0),0,MAX(0,TODAY()-F110))</f>
        <v/>
      </c>
      <c r="Q110" s="24">
        <f>IF(OR(L110="Paid",L110="Cancelled",F110=""),"",IF(F110&lt;TODAY(),"OVERDUE",IF(F110&lt;=TODAY()+'Setup &amp; Lists'!$M$7,"DUE SOON","")))</f>
        <v/>
      </c>
      <c r="R110" s="18" t="n"/>
    </row>
    <row r="111">
      <c r="A111" s="19" t="n"/>
      <c r="B111" s="18" t="n"/>
      <c r="C111" s="19" t="n"/>
      <c r="D111" s="19" t="n"/>
      <c r="E111" s="20" t="n"/>
      <c r="F111" s="20" t="n"/>
      <c r="G111" s="19" t="n"/>
      <c r="H111" s="19" t="n"/>
      <c r="I111" s="21" t="n"/>
      <c r="J111" s="21" t="n"/>
      <c r="K111" s="22">
        <f>IF(I111="","",MAX(0,I111-J111))</f>
        <v/>
      </c>
      <c r="L111" s="19" t="n"/>
      <c r="M111" s="18" t="n"/>
      <c r="N111" s="19" t="n"/>
      <c r="O111" s="24">
        <f>IF(OR(C111="",D111=""),"",C111&amp;"|"&amp;D111&amp;"|"&amp;TEXT(I111,"0.00"))</f>
        <v/>
      </c>
      <c r="P111" s="24">
        <f>IF(OR(F111="",K111=0),0,MAX(0,TODAY()-F111))</f>
        <v/>
      </c>
      <c r="Q111" s="24">
        <f>IF(OR(L111="Paid",L111="Cancelled",F111=""),"",IF(F111&lt;TODAY(),"OVERDUE",IF(F111&lt;=TODAY()+'Setup &amp; Lists'!$M$7,"DUE SOON","")))</f>
        <v/>
      </c>
      <c r="R111" s="18" t="n"/>
    </row>
    <row r="112">
      <c r="A112" s="19" t="n"/>
      <c r="B112" s="18" t="n"/>
      <c r="C112" s="19" t="n"/>
      <c r="D112" s="19" t="n"/>
      <c r="E112" s="20" t="n"/>
      <c r="F112" s="20" t="n"/>
      <c r="G112" s="19" t="n"/>
      <c r="H112" s="19" t="n"/>
      <c r="I112" s="21" t="n"/>
      <c r="J112" s="21" t="n"/>
      <c r="K112" s="22">
        <f>IF(I112="","",MAX(0,I112-J112))</f>
        <v/>
      </c>
      <c r="L112" s="19" t="n"/>
      <c r="M112" s="18" t="n"/>
      <c r="N112" s="19" t="n"/>
      <c r="O112" s="24">
        <f>IF(OR(C112="",D112=""),"",C112&amp;"|"&amp;D112&amp;"|"&amp;TEXT(I112,"0.00"))</f>
        <v/>
      </c>
      <c r="P112" s="24">
        <f>IF(OR(F112="",K112=0),0,MAX(0,TODAY()-F112))</f>
        <v/>
      </c>
      <c r="Q112" s="24">
        <f>IF(OR(L112="Paid",L112="Cancelled",F112=""),"",IF(F112&lt;TODAY(),"OVERDUE",IF(F112&lt;=TODAY()+'Setup &amp; Lists'!$M$7,"DUE SOON","")))</f>
        <v/>
      </c>
      <c r="R112" s="18" t="n"/>
    </row>
    <row r="113">
      <c r="A113" s="19" t="n"/>
      <c r="B113" s="18" t="n"/>
      <c r="C113" s="19" t="n"/>
      <c r="D113" s="19" t="n"/>
      <c r="E113" s="20" t="n"/>
      <c r="F113" s="20" t="n"/>
      <c r="G113" s="19" t="n"/>
      <c r="H113" s="19" t="n"/>
      <c r="I113" s="21" t="n"/>
      <c r="J113" s="21" t="n"/>
      <c r="K113" s="22">
        <f>IF(I113="","",MAX(0,I113-J113))</f>
        <v/>
      </c>
      <c r="L113" s="19" t="n"/>
      <c r="M113" s="18" t="n"/>
      <c r="N113" s="19" t="n"/>
      <c r="O113" s="24">
        <f>IF(OR(C113="",D113=""),"",C113&amp;"|"&amp;D113&amp;"|"&amp;TEXT(I113,"0.00"))</f>
        <v/>
      </c>
      <c r="P113" s="24">
        <f>IF(OR(F113="",K113=0),0,MAX(0,TODAY()-F113))</f>
        <v/>
      </c>
      <c r="Q113" s="24">
        <f>IF(OR(L113="Paid",L113="Cancelled",F113=""),"",IF(F113&lt;TODAY(),"OVERDUE",IF(F113&lt;=TODAY()+'Setup &amp; Lists'!$M$7,"DUE SOON","")))</f>
        <v/>
      </c>
      <c r="R113" s="18" t="n"/>
    </row>
    <row r="114">
      <c r="A114" s="19" t="n"/>
      <c r="B114" s="18" t="n"/>
      <c r="C114" s="19" t="n"/>
      <c r="D114" s="19" t="n"/>
      <c r="E114" s="20" t="n"/>
      <c r="F114" s="20" t="n"/>
      <c r="G114" s="19" t="n"/>
      <c r="H114" s="19" t="n"/>
      <c r="I114" s="21" t="n"/>
      <c r="J114" s="21" t="n"/>
      <c r="K114" s="22">
        <f>IF(I114="","",MAX(0,I114-J114))</f>
        <v/>
      </c>
      <c r="L114" s="19" t="n"/>
      <c r="M114" s="18" t="n"/>
      <c r="N114" s="19" t="n"/>
      <c r="O114" s="24">
        <f>IF(OR(C114="",D114=""),"",C114&amp;"|"&amp;D114&amp;"|"&amp;TEXT(I114,"0.00"))</f>
        <v/>
      </c>
      <c r="P114" s="24">
        <f>IF(OR(F114="",K114=0),0,MAX(0,TODAY()-F114))</f>
        <v/>
      </c>
      <c r="Q114" s="24">
        <f>IF(OR(L114="Paid",L114="Cancelled",F114=""),"",IF(F114&lt;TODAY(),"OVERDUE",IF(F114&lt;=TODAY()+'Setup &amp; Lists'!$M$7,"DUE SOON","")))</f>
        <v/>
      </c>
      <c r="R114" s="18" t="n"/>
    </row>
    <row r="115">
      <c r="A115" s="19" t="n"/>
      <c r="B115" s="18" t="n"/>
      <c r="C115" s="19" t="n"/>
      <c r="D115" s="19" t="n"/>
      <c r="E115" s="20" t="n"/>
      <c r="F115" s="20" t="n"/>
      <c r="G115" s="19" t="n"/>
      <c r="H115" s="19" t="n"/>
      <c r="I115" s="21" t="n"/>
      <c r="J115" s="21" t="n"/>
      <c r="K115" s="22">
        <f>IF(I115="","",MAX(0,I115-J115))</f>
        <v/>
      </c>
      <c r="L115" s="19" t="n"/>
      <c r="M115" s="18" t="n"/>
      <c r="N115" s="19" t="n"/>
      <c r="O115" s="24">
        <f>IF(OR(C115="",D115=""),"",C115&amp;"|"&amp;D115&amp;"|"&amp;TEXT(I115,"0.00"))</f>
        <v/>
      </c>
      <c r="P115" s="24">
        <f>IF(OR(F115="",K115=0),0,MAX(0,TODAY()-F115))</f>
        <v/>
      </c>
      <c r="Q115" s="24">
        <f>IF(OR(L115="Paid",L115="Cancelled",F115=""),"",IF(F115&lt;TODAY(),"OVERDUE",IF(F115&lt;=TODAY()+'Setup &amp; Lists'!$M$7,"DUE SOON","")))</f>
        <v/>
      </c>
      <c r="R115" s="18" t="n"/>
    </row>
    <row r="116">
      <c r="A116" s="19" t="n"/>
      <c r="B116" s="18" t="n"/>
      <c r="C116" s="19" t="n"/>
      <c r="D116" s="19" t="n"/>
      <c r="E116" s="20" t="n"/>
      <c r="F116" s="20" t="n"/>
      <c r="G116" s="19" t="n"/>
      <c r="H116" s="19" t="n"/>
      <c r="I116" s="21" t="n"/>
      <c r="J116" s="21" t="n"/>
      <c r="K116" s="22">
        <f>IF(I116="","",MAX(0,I116-J116))</f>
        <v/>
      </c>
      <c r="L116" s="19" t="n"/>
      <c r="M116" s="18" t="n"/>
      <c r="N116" s="19" t="n"/>
      <c r="O116" s="24">
        <f>IF(OR(C116="",D116=""),"",C116&amp;"|"&amp;D116&amp;"|"&amp;TEXT(I116,"0.00"))</f>
        <v/>
      </c>
      <c r="P116" s="24">
        <f>IF(OR(F116="",K116=0),0,MAX(0,TODAY()-F116))</f>
        <v/>
      </c>
      <c r="Q116" s="24">
        <f>IF(OR(L116="Paid",L116="Cancelled",F116=""),"",IF(F116&lt;TODAY(),"OVERDUE",IF(F116&lt;=TODAY()+'Setup &amp; Lists'!$M$7,"DUE SOON","")))</f>
        <v/>
      </c>
      <c r="R116" s="18" t="n"/>
    </row>
    <row r="117">
      <c r="A117" s="19" t="n"/>
      <c r="B117" s="18" t="n"/>
      <c r="C117" s="19" t="n"/>
      <c r="D117" s="19" t="n"/>
      <c r="E117" s="20" t="n"/>
      <c r="F117" s="20" t="n"/>
      <c r="G117" s="19" t="n"/>
      <c r="H117" s="19" t="n"/>
      <c r="I117" s="21" t="n"/>
      <c r="J117" s="21" t="n"/>
      <c r="K117" s="22">
        <f>IF(I117="","",MAX(0,I117-J117))</f>
        <v/>
      </c>
      <c r="L117" s="19" t="n"/>
      <c r="M117" s="18" t="n"/>
      <c r="N117" s="19" t="n"/>
      <c r="O117" s="24">
        <f>IF(OR(C117="",D117=""),"",C117&amp;"|"&amp;D117&amp;"|"&amp;TEXT(I117,"0.00"))</f>
        <v/>
      </c>
      <c r="P117" s="24">
        <f>IF(OR(F117="",K117=0),0,MAX(0,TODAY()-F117))</f>
        <v/>
      </c>
      <c r="Q117" s="24">
        <f>IF(OR(L117="Paid",L117="Cancelled",F117=""),"",IF(F117&lt;TODAY(),"OVERDUE",IF(F117&lt;=TODAY()+'Setup &amp; Lists'!$M$7,"DUE SOON","")))</f>
        <v/>
      </c>
      <c r="R117" s="18" t="n"/>
    </row>
    <row r="118">
      <c r="A118" s="19" t="n"/>
      <c r="B118" s="18" t="n"/>
      <c r="C118" s="19" t="n"/>
      <c r="D118" s="19" t="n"/>
      <c r="E118" s="20" t="n"/>
      <c r="F118" s="20" t="n"/>
      <c r="G118" s="19" t="n"/>
      <c r="H118" s="19" t="n"/>
      <c r="I118" s="21" t="n"/>
      <c r="J118" s="21" t="n"/>
      <c r="K118" s="22">
        <f>IF(I118="","",MAX(0,I118-J118))</f>
        <v/>
      </c>
      <c r="L118" s="19" t="n"/>
      <c r="M118" s="18" t="n"/>
      <c r="N118" s="19" t="n"/>
      <c r="O118" s="24">
        <f>IF(OR(C118="",D118=""),"",C118&amp;"|"&amp;D118&amp;"|"&amp;TEXT(I118,"0.00"))</f>
        <v/>
      </c>
      <c r="P118" s="24">
        <f>IF(OR(F118="",K118=0),0,MAX(0,TODAY()-F118))</f>
        <v/>
      </c>
      <c r="Q118" s="24">
        <f>IF(OR(L118="Paid",L118="Cancelled",F118=""),"",IF(F118&lt;TODAY(),"OVERDUE",IF(F118&lt;=TODAY()+'Setup &amp; Lists'!$M$7,"DUE SOON","")))</f>
        <v/>
      </c>
      <c r="R118" s="18" t="n"/>
    </row>
    <row r="119">
      <c r="A119" s="19" t="n"/>
      <c r="B119" s="18" t="n"/>
      <c r="C119" s="19" t="n"/>
      <c r="D119" s="19" t="n"/>
      <c r="E119" s="20" t="n"/>
      <c r="F119" s="20" t="n"/>
      <c r="G119" s="19" t="n"/>
      <c r="H119" s="19" t="n"/>
      <c r="I119" s="21" t="n"/>
      <c r="J119" s="21" t="n"/>
      <c r="K119" s="22">
        <f>IF(I119="","",MAX(0,I119-J119))</f>
        <v/>
      </c>
      <c r="L119" s="19" t="n"/>
      <c r="M119" s="18" t="n"/>
      <c r="N119" s="19" t="n"/>
      <c r="O119" s="24">
        <f>IF(OR(C119="",D119=""),"",C119&amp;"|"&amp;D119&amp;"|"&amp;TEXT(I119,"0.00"))</f>
        <v/>
      </c>
      <c r="P119" s="24">
        <f>IF(OR(F119="",K119=0),0,MAX(0,TODAY()-F119))</f>
        <v/>
      </c>
      <c r="Q119" s="24">
        <f>IF(OR(L119="Paid",L119="Cancelled",F119=""),"",IF(F119&lt;TODAY(),"OVERDUE",IF(F119&lt;=TODAY()+'Setup &amp; Lists'!$M$7,"DUE SOON","")))</f>
        <v/>
      </c>
      <c r="R119" s="18" t="n"/>
    </row>
    <row r="120">
      <c r="A120" s="19" t="n"/>
      <c r="B120" s="18" t="n"/>
      <c r="C120" s="19" t="n"/>
      <c r="D120" s="19" t="n"/>
      <c r="E120" s="20" t="n"/>
      <c r="F120" s="20" t="n"/>
      <c r="G120" s="19" t="n"/>
      <c r="H120" s="19" t="n"/>
      <c r="I120" s="21" t="n"/>
      <c r="J120" s="21" t="n"/>
      <c r="K120" s="22">
        <f>IF(I120="","",MAX(0,I120-J120))</f>
        <v/>
      </c>
      <c r="L120" s="19" t="n"/>
      <c r="M120" s="18" t="n"/>
      <c r="N120" s="19" t="n"/>
      <c r="O120" s="24">
        <f>IF(OR(C120="",D120=""),"",C120&amp;"|"&amp;D120&amp;"|"&amp;TEXT(I120,"0.00"))</f>
        <v/>
      </c>
      <c r="P120" s="24">
        <f>IF(OR(F120="",K120=0),0,MAX(0,TODAY()-F120))</f>
        <v/>
      </c>
      <c r="Q120" s="24">
        <f>IF(OR(L120="Paid",L120="Cancelled",F120=""),"",IF(F120&lt;TODAY(),"OVERDUE",IF(F120&lt;=TODAY()+'Setup &amp; Lists'!$M$7,"DUE SOON","")))</f>
        <v/>
      </c>
      <c r="R120" s="18" t="n"/>
    </row>
    <row r="121">
      <c r="A121" s="19" t="n"/>
      <c r="B121" s="18" t="n"/>
      <c r="C121" s="19" t="n"/>
      <c r="D121" s="19" t="n"/>
      <c r="E121" s="20" t="n"/>
      <c r="F121" s="20" t="n"/>
      <c r="G121" s="19" t="n"/>
      <c r="H121" s="19" t="n"/>
      <c r="I121" s="21" t="n"/>
      <c r="J121" s="21" t="n"/>
      <c r="K121" s="22">
        <f>IF(I121="","",MAX(0,I121-J121))</f>
        <v/>
      </c>
      <c r="L121" s="19" t="n"/>
      <c r="M121" s="18" t="n"/>
      <c r="N121" s="19" t="n"/>
      <c r="O121" s="24">
        <f>IF(OR(C121="",D121=""),"",C121&amp;"|"&amp;D121&amp;"|"&amp;TEXT(I121,"0.00"))</f>
        <v/>
      </c>
      <c r="P121" s="24">
        <f>IF(OR(F121="",K121=0),0,MAX(0,TODAY()-F121))</f>
        <v/>
      </c>
      <c r="Q121" s="24">
        <f>IF(OR(L121="Paid",L121="Cancelled",F121=""),"",IF(F121&lt;TODAY(),"OVERDUE",IF(F121&lt;=TODAY()+'Setup &amp; Lists'!$M$7,"DUE SOON","")))</f>
        <v/>
      </c>
      <c r="R121" s="18" t="n"/>
    </row>
    <row r="122">
      <c r="A122" s="19" t="n"/>
      <c r="B122" s="18" t="n"/>
      <c r="C122" s="19" t="n"/>
      <c r="D122" s="19" t="n"/>
      <c r="E122" s="20" t="n"/>
      <c r="F122" s="20" t="n"/>
      <c r="G122" s="19" t="n"/>
      <c r="H122" s="19" t="n"/>
      <c r="I122" s="21" t="n"/>
      <c r="J122" s="21" t="n"/>
      <c r="K122" s="22">
        <f>IF(I122="","",MAX(0,I122-J122))</f>
        <v/>
      </c>
      <c r="L122" s="19" t="n"/>
      <c r="M122" s="18" t="n"/>
      <c r="N122" s="19" t="n"/>
      <c r="O122" s="24">
        <f>IF(OR(C122="",D122=""),"",C122&amp;"|"&amp;D122&amp;"|"&amp;TEXT(I122,"0.00"))</f>
        <v/>
      </c>
      <c r="P122" s="24">
        <f>IF(OR(F122="",K122=0),0,MAX(0,TODAY()-F122))</f>
        <v/>
      </c>
      <c r="Q122" s="24">
        <f>IF(OR(L122="Paid",L122="Cancelled",F122=""),"",IF(F122&lt;TODAY(),"OVERDUE",IF(F122&lt;=TODAY()+'Setup &amp; Lists'!$M$7,"DUE SOON","")))</f>
        <v/>
      </c>
      <c r="R122" s="18" t="n"/>
    </row>
    <row r="123">
      <c r="A123" s="19" t="n"/>
      <c r="B123" s="18" t="n"/>
      <c r="C123" s="19" t="n"/>
      <c r="D123" s="19" t="n"/>
      <c r="E123" s="20" t="n"/>
      <c r="F123" s="20" t="n"/>
      <c r="G123" s="19" t="n"/>
      <c r="H123" s="19" t="n"/>
      <c r="I123" s="21" t="n"/>
      <c r="J123" s="21" t="n"/>
      <c r="K123" s="22">
        <f>IF(I123="","",MAX(0,I123-J123))</f>
        <v/>
      </c>
      <c r="L123" s="19" t="n"/>
      <c r="M123" s="18" t="n"/>
      <c r="N123" s="19" t="n"/>
      <c r="O123" s="24">
        <f>IF(OR(C123="",D123=""),"",C123&amp;"|"&amp;D123&amp;"|"&amp;TEXT(I123,"0.00"))</f>
        <v/>
      </c>
      <c r="P123" s="24">
        <f>IF(OR(F123="",K123=0),0,MAX(0,TODAY()-F123))</f>
        <v/>
      </c>
      <c r="Q123" s="24">
        <f>IF(OR(L123="Paid",L123="Cancelled",F123=""),"",IF(F123&lt;TODAY(),"OVERDUE",IF(F123&lt;=TODAY()+'Setup &amp; Lists'!$M$7,"DUE SOON","")))</f>
        <v/>
      </c>
      <c r="R123" s="18" t="n"/>
    </row>
    <row r="124">
      <c r="A124" s="19" t="n"/>
      <c r="B124" s="18" t="n"/>
      <c r="C124" s="19" t="n"/>
      <c r="D124" s="19" t="n"/>
      <c r="E124" s="20" t="n"/>
      <c r="F124" s="20" t="n"/>
      <c r="G124" s="19" t="n"/>
      <c r="H124" s="19" t="n"/>
      <c r="I124" s="21" t="n"/>
      <c r="J124" s="21" t="n"/>
      <c r="K124" s="22">
        <f>IF(I124="","",MAX(0,I124-J124))</f>
        <v/>
      </c>
      <c r="L124" s="19" t="n"/>
      <c r="M124" s="18" t="n"/>
      <c r="N124" s="19" t="n"/>
      <c r="O124" s="24">
        <f>IF(OR(C124="",D124=""),"",C124&amp;"|"&amp;D124&amp;"|"&amp;TEXT(I124,"0.00"))</f>
        <v/>
      </c>
      <c r="P124" s="24">
        <f>IF(OR(F124="",K124=0),0,MAX(0,TODAY()-F124))</f>
        <v/>
      </c>
      <c r="Q124" s="24">
        <f>IF(OR(L124="Paid",L124="Cancelled",F124=""),"",IF(F124&lt;TODAY(),"OVERDUE",IF(F124&lt;=TODAY()+'Setup &amp; Lists'!$M$7,"DUE SOON","")))</f>
        <v/>
      </c>
      <c r="R124" s="18" t="n"/>
    </row>
    <row r="125">
      <c r="A125" s="19" t="n"/>
      <c r="B125" s="18" t="n"/>
      <c r="C125" s="19" t="n"/>
      <c r="D125" s="19" t="n"/>
      <c r="E125" s="20" t="n"/>
      <c r="F125" s="20" t="n"/>
      <c r="G125" s="19" t="n"/>
      <c r="H125" s="19" t="n"/>
      <c r="I125" s="21" t="n"/>
      <c r="J125" s="21" t="n"/>
      <c r="K125" s="22">
        <f>IF(I125="","",MAX(0,I125-J125))</f>
        <v/>
      </c>
      <c r="L125" s="19" t="n"/>
      <c r="M125" s="18" t="n"/>
      <c r="N125" s="19" t="n"/>
      <c r="O125" s="24">
        <f>IF(OR(C125="",D125=""),"",C125&amp;"|"&amp;D125&amp;"|"&amp;TEXT(I125,"0.00"))</f>
        <v/>
      </c>
      <c r="P125" s="24">
        <f>IF(OR(F125="",K125=0),0,MAX(0,TODAY()-F125))</f>
        <v/>
      </c>
      <c r="Q125" s="24">
        <f>IF(OR(L125="Paid",L125="Cancelled",F125=""),"",IF(F125&lt;TODAY(),"OVERDUE",IF(F125&lt;=TODAY()+'Setup &amp; Lists'!$M$7,"DUE SOON","")))</f>
        <v/>
      </c>
      <c r="R125" s="18" t="n"/>
    </row>
    <row r="126">
      <c r="A126" s="19" t="n"/>
      <c r="B126" s="18" t="n"/>
      <c r="C126" s="19" t="n"/>
      <c r="D126" s="19" t="n"/>
      <c r="E126" s="20" t="n"/>
      <c r="F126" s="20" t="n"/>
      <c r="G126" s="19" t="n"/>
      <c r="H126" s="19" t="n"/>
      <c r="I126" s="21" t="n"/>
      <c r="J126" s="21" t="n"/>
      <c r="K126" s="22">
        <f>IF(I126="","",MAX(0,I126-J126))</f>
        <v/>
      </c>
      <c r="L126" s="19" t="n"/>
      <c r="M126" s="18" t="n"/>
      <c r="N126" s="19" t="n"/>
      <c r="O126" s="24">
        <f>IF(OR(C126="",D126=""),"",C126&amp;"|"&amp;D126&amp;"|"&amp;TEXT(I126,"0.00"))</f>
        <v/>
      </c>
      <c r="P126" s="24">
        <f>IF(OR(F126="",K126=0),0,MAX(0,TODAY()-F126))</f>
        <v/>
      </c>
      <c r="Q126" s="24">
        <f>IF(OR(L126="Paid",L126="Cancelled",F126=""),"",IF(F126&lt;TODAY(),"OVERDUE",IF(F126&lt;=TODAY()+'Setup &amp; Lists'!$M$7,"DUE SOON","")))</f>
        <v/>
      </c>
      <c r="R126" s="18" t="n"/>
    </row>
    <row r="127">
      <c r="A127" s="19" t="n"/>
      <c r="B127" s="18" t="n"/>
      <c r="C127" s="19" t="n"/>
      <c r="D127" s="19" t="n"/>
      <c r="E127" s="20" t="n"/>
      <c r="F127" s="20" t="n"/>
      <c r="G127" s="19" t="n"/>
      <c r="H127" s="19" t="n"/>
      <c r="I127" s="21" t="n"/>
      <c r="J127" s="21" t="n"/>
      <c r="K127" s="22">
        <f>IF(I127="","",MAX(0,I127-J127))</f>
        <v/>
      </c>
      <c r="L127" s="19" t="n"/>
      <c r="M127" s="18" t="n"/>
      <c r="N127" s="19" t="n"/>
      <c r="O127" s="24">
        <f>IF(OR(C127="",D127=""),"",C127&amp;"|"&amp;D127&amp;"|"&amp;TEXT(I127,"0.00"))</f>
        <v/>
      </c>
      <c r="P127" s="24">
        <f>IF(OR(F127="",K127=0),0,MAX(0,TODAY()-F127))</f>
        <v/>
      </c>
      <c r="Q127" s="24">
        <f>IF(OR(L127="Paid",L127="Cancelled",F127=""),"",IF(F127&lt;TODAY(),"OVERDUE",IF(F127&lt;=TODAY()+'Setup &amp; Lists'!$M$7,"DUE SOON","")))</f>
        <v/>
      </c>
      <c r="R127" s="18" t="n"/>
    </row>
    <row r="128">
      <c r="A128" s="19" t="n"/>
      <c r="B128" s="18" t="n"/>
      <c r="C128" s="19" t="n"/>
      <c r="D128" s="19" t="n"/>
      <c r="E128" s="20" t="n"/>
      <c r="F128" s="20" t="n"/>
      <c r="G128" s="19" t="n"/>
      <c r="H128" s="19" t="n"/>
      <c r="I128" s="21" t="n"/>
      <c r="J128" s="21" t="n"/>
      <c r="K128" s="22">
        <f>IF(I128="","",MAX(0,I128-J128))</f>
        <v/>
      </c>
      <c r="L128" s="19" t="n"/>
      <c r="M128" s="18" t="n"/>
      <c r="N128" s="19" t="n"/>
      <c r="O128" s="24">
        <f>IF(OR(C128="",D128=""),"",C128&amp;"|"&amp;D128&amp;"|"&amp;TEXT(I128,"0.00"))</f>
        <v/>
      </c>
      <c r="P128" s="24">
        <f>IF(OR(F128="",K128=0),0,MAX(0,TODAY()-F128))</f>
        <v/>
      </c>
      <c r="Q128" s="24">
        <f>IF(OR(L128="Paid",L128="Cancelled",F128=""),"",IF(F128&lt;TODAY(),"OVERDUE",IF(F128&lt;=TODAY()+'Setup &amp; Lists'!$M$7,"DUE SOON","")))</f>
        <v/>
      </c>
      <c r="R128" s="18" t="n"/>
    </row>
    <row r="129">
      <c r="A129" s="19" t="n"/>
      <c r="B129" s="18" t="n"/>
      <c r="C129" s="19" t="n"/>
      <c r="D129" s="19" t="n"/>
      <c r="E129" s="20" t="n"/>
      <c r="F129" s="20" t="n"/>
      <c r="G129" s="19" t="n"/>
      <c r="H129" s="19" t="n"/>
      <c r="I129" s="21" t="n"/>
      <c r="J129" s="21" t="n"/>
      <c r="K129" s="22">
        <f>IF(I129="","",MAX(0,I129-J129))</f>
        <v/>
      </c>
      <c r="L129" s="19" t="n"/>
      <c r="M129" s="18" t="n"/>
      <c r="N129" s="19" t="n"/>
      <c r="O129" s="24">
        <f>IF(OR(C129="",D129=""),"",C129&amp;"|"&amp;D129&amp;"|"&amp;TEXT(I129,"0.00"))</f>
        <v/>
      </c>
      <c r="P129" s="24">
        <f>IF(OR(F129="",K129=0),0,MAX(0,TODAY()-F129))</f>
        <v/>
      </c>
      <c r="Q129" s="24">
        <f>IF(OR(L129="Paid",L129="Cancelled",F129=""),"",IF(F129&lt;TODAY(),"OVERDUE",IF(F129&lt;=TODAY()+'Setup &amp; Lists'!$M$7,"DUE SOON","")))</f>
        <v/>
      </c>
      <c r="R129" s="18" t="n"/>
    </row>
    <row r="130">
      <c r="A130" s="19" t="n"/>
      <c r="B130" s="18" t="n"/>
      <c r="C130" s="19" t="n"/>
      <c r="D130" s="19" t="n"/>
      <c r="E130" s="20" t="n"/>
      <c r="F130" s="20" t="n"/>
      <c r="G130" s="19" t="n"/>
      <c r="H130" s="19" t="n"/>
      <c r="I130" s="21" t="n"/>
      <c r="J130" s="21" t="n"/>
      <c r="K130" s="22">
        <f>IF(I130="","",MAX(0,I130-J130))</f>
        <v/>
      </c>
      <c r="L130" s="19" t="n"/>
      <c r="M130" s="18" t="n"/>
      <c r="N130" s="19" t="n"/>
      <c r="O130" s="24">
        <f>IF(OR(C130="",D130=""),"",C130&amp;"|"&amp;D130&amp;"|"&amp;TEXT(I130,"0.00"))</f>
        <v/>
      </c>
      <c r="P130" s="24">
        <f>IF(OR(F130="",K130=0),0,MAX(0,TODAY()-F130))</f>
        <v/>
      </c>
      <c r="Q130" s="24">
        <f>IF(OR(L130="Paid",L130="Cancelled",F130=""),"",IF(F130&lt;TODAY(),"OVERDUE",IF(F130&lt;=TODAY()+'Setup &amp; Lists'!$M$7,"DUE SOON","")))</f>
        <v/>
      </c>
      <c r="R130" s="18" t="n"/>
    </row>
    <row r="131">
      <c r="A131" s="19" t="n"/>
      <c r="B131" s="18" t="n"/>
      <c r="C131" s="19" t="n"/>
      <c r="D131" s="19" t="n"/>
      <c r="E131" s="20" t="n"/>
      <c r="F131" s="20" t="n"/>
      <c r="G131" s="19" t="n"/>
      <c r="H131" s="19" t="n"/>
      <c r="I131" s="21" t="n"/>
      <c r="J131" s="21" t="n"/>
      <c r="K131" s="22">
        <f>IF(I131="","",MAX(0,I131-J131))</f>
        <v/>
      </c>
      <c r="L131" s="19" t="n"/>
      <c r="M131" s="18" t="n"/>
      <c r="N131" s="19" t="n"/>
      <c r="O131" s="24">
        <f>IF(OR(C131="",D131=""),"",C131&amp;"|"&amp;D131&amp;"|"&amp;TEXT(I131,"0.00"))</f>
        <v/>
      </c>
      <c r="P131" s="24">
        <f>IF(OR(F131="",K131=0),0,MAX(0,TODAY()-F131))</f>
        <v/>
      </c>
      <c r="Q131" s="24">
        <f>IF(OR(L131="Paid",L131="Cancelled",F131=""),"",IF(F131&lt;TODAY(),"OVERDUE",IF(F131&lt;=TODAY()+'Setup &amp; Lists'!$M$7,"DUE SOON","")))</f>
        <v/>
      </c>
      <c r="R131" s="18" t="n"/>
    </row>
    <row r="132">
      <c r="A132" s="19" t="n"/>
      <c r="B132" s="18" t="n"/>
      <c r="C132" s="19" t="n"/>
      <c r="D132" s="19" t="n"/>
      <c r="E132" s="20" t="n"/>
      <c r="F132" s="20" t="n"/>
      <c r="G132" s="19" t="n"/>
      <c r="H132" s="19" t="n"/>
      <c r="I132" s="21" t="n"/>
      <c r="J132" s="21" t="n"/>
      <c r="K132" s="22">
        <f>IF(I132="","",MAX(0,I132-J132))</f>
        <v/>
      </c>
      <c r="L132" s="19" t="n"/>
      <c r="M132" s="18" t="n"/>
      <c r="N132" s="19" t="n"/>
      <c r="O132" s="24">
        <f>IF(OR(C132="",D132=""),"",C132&amp;"|"&amp;D132&amp;"|"&amp;TEXT(I132,"0.00"))</f>
        <v/>
      </c>
      <c r="P132" s="24">
        <f>IF(OR(F132="",K132=0),0,MAX(0,TODAY()-F132))</f>
        <v/>
      </c>
      <c r="Q132" s="24">
        <f>IF(OR(L132="Paid",L132="Cancelled",F132=""),"",IF(F132&lt;TODAY(),"OVERDUE",IF(F132&lt;=TODAY()+'Setup &amp; Lists'!$M$7,"DUE SOON","")))</f>
        <v/>
      </c>
      <c r="R132" s="18" t="n"/>
    </row>
    <row r="133">
      <c r="A133" s="19" t="n"/>
      <c r="B133" s="18" t="n"/>
      <c r="C133" s="19" t="n"/>
      <c r="D133" s="19" t="n"/>
      <c r="E133" s="20" t="n"/>
      <c r="F133" s="20" t="n"/>
      <c r="G133" s="19" t="n"/>
      <c r="H133" s="19" t="n"/>
      <c r="I133" s="21" t="n"/>
      <c r="J133" s="21" t="n"/>
      <c r="K133" s="22">
        <f>IF(I133="","",MAX(0,I133-J133))</f>
        <v/>
      </c>
      <c r="L133" s="19" t="n"/>
      <c r="M133" s="18" t="n"/>
      <c r="N133" s="19" t="n"/>
      <c r="O133" s="24">
        <f>IF(OR(C133="",D133=""),"",C133&amp;"|"&amp;D133&amp;"|"&amp;TEXT(I133,"0.00"))</f>
        <v/>
      </c>
      <c r="P133" s="24">
        <f>IF(OR(F133="",K133=0),0,MAX(0,TODAY()-F133))</f>
        <v/>
      </c>
      <c r="Q133" s="24">
        <f>IF(OR(L133="Paid",L133="Cancelled",F133=""),"",IF(F133&lt;TODAY(),"OVERDUE",IF(F133&lt;=TODAY()+'Setup &amp; Lists'!$M$7,"DUE SOON","")))</f>
        <v/>
      </c>
      <c r="R133" s="18" t="n"/>
    </row>
    <row r="134">
      <c r="A134" s="19" t="n"/>
      <c r="B134" s="18" t="n"/>
      <c r="C134" s="19" t="n"/>
      <c r="D134" s="19" t="n"/>
      <c r="E134" s="20" t="n"/>
      <c r="F134" s="20" t="n"/>
      <c r="G134" s="19" t="n"/>
      <c r="H134" s="19" t="n"/>
      <c r="I134" s="21" t="n"/>
      <c r="J134" s="21" t="n"/>
      <c r="K134" s="22">
        <f>IF(I134="","",MAX(0,I134-J134))</f>
        <v/>
      </c>
      <c r="L134" s="19" t="n"/>
      <c r="M134" s="18" t="n"/>
      <c r="N134" s="19" t="n"/>
      <c r="O134" s="24">
        <f>IF(OR(C134="",D134=""),"",C134&amp;"|"&amp;D134&amp;"|"&amp;TEXT(I134,"0.00"))</f>
        <v/>
      </c>
      <c r="P134" s="24">
        <f>IF(OR(F134="",K134=0),0,MAX(0,TODAY()-F134))</f>
        <v/>
      </c>
      <c r="Q134" s="24">
        <f>IF(OR(L134="Paid",L134="Cancelled",F134=""),"",IF(F134&lt;TODAY(),"OVERDUE",IF(F134&lt;=TODAY()+'Setup &amp; Lists'!$M$7,"DUE SOON","")))</f>
        <v/>
      </c>
      <c r="R134" s="18" t="n"/>
    </row>
    <row r="135">
      <c r="A135" s="19" t="n"/>
      <c r="B135" s="18" t="n"/>
      <c r="C135" s="19" t="n"/>
      <c r="D135" s="19" t="n"/>
      <c r="E135" s="20" t="n"/>
      <c r="F135" s="20" t="n"/>
      <c r="G135" s="19" t="n"/>
      <c r="H135" s="19" t="n"/>
      <c r="I135" s="21" t="n"/>
      <c r="J135" s="21" t="n"/>
      <c r="K135" s="22">
        <f>IF(I135="","",MAX(0,I135-J135))</f>
        <v/>
      </c>
      <c r="L135" s="19" t="n"/>
      <c r="M135" s="18" t="n"/>
      <c r="N135" s="19" t="n"/>
      <c r="O135" s="24">
        <f>IF(OR(C135="",D135=""),"",C135&amp;"|"&amp;D135&amp;"|"&amp;TEXT(I135,"0.00"))</f>
        <v/>
      </c>
      <c r="P135" s="24">
        <f>IF(OR(F135="",K135=0),0,MAX(0,TODAY()-F135))</f>
        <v/>
      </c>
      <c r="Q135" s="24">
        <f>IF(OR(L135="Paid",L135="Cancelled",F135=""),"",IF(F135&lt;TODAY(),"OVERDUE",IF(F135&lt;=TODAY()+'Setup &amp; Lists'!$M$7,"DUE SOON","")))</f>
        <v/>
      </c>
      <c r="R135" s="18" t="n"/>
    </row>
    <row r="136">
      <c r="A136" s="19" t="n"/>
      <c r="B136" s="18" t="n"/>
      <c r="C136" s="19" t="n"/>
      <c r="D136" s="19" t="n"/>
      <c r="E136" s="20" t="n"/>
      <c r="F136" s="20" t="n"/>
      <c r="G136" s="19" t="n"/>
      <c r="H136" s="19" t="n"/>
      <c r="I136" s="21" t="n"/>
      <c r="J136" s="21" t="n"/>
      <c r="K136" s="22">
        <f>IF(I136="","",MAX(0,I136-J136))</f>
        <v/>
      </c>
      <c r="L136" s="19" t="n"/>
      <c r="M136" s="18" t="n"/>
      <c r="N136" s="19" t="n"/>
      <c r="O136" s="24">
        <f>IF(OR(C136="",D136=""),"",C136&amp;"|"&amp;D136&amp;"|"&amp;TEXT(I136,"0.00"))</f>
        <v/>
      </c>
      <c r="P136" s="24">
        <f>IF(OR(F136="",K136=0),0,MAX(0,TODAY()-F136))</f>
        <v/>
      </c>
      <c r="Q136" s="24">
        <f>IF(OR(L136="Paid",L136="Cancelled",F136=""),"",IF(F136&lt;TODAY(),"OVERDUE",IF(F136&lt;=TODAY()+'Setup &amp; Lists'!$M$7,"DUE SOON","")))</f>
        <v/>
      </c>
      <c r="R136" s="18" t="n"/>
    </row>
    <row r="137">
      <c r="A137" s="19" t="n"/>
      <c r="B137" s="18" t="n"/>
      <c r="C137" s="19" t="n"/>
      <c r="D137" s="19" t="n"/>
      <c r="E137" s="20" t="n"/>
      <c r="F137" s="20" t="n"/>
      <c r="G137" s="19" t="n"/>
      <c r="H137" s="19" t="n"/>
      <c r="I137" s="21" t="n"/>
      <c r="J137" s="21" t="n"/>
      <c r="K137" s="22">
        <f>IF(I137="","",MAX(0,I137-J137))</f>
        <v/>
      </c>
      <c r="L137" s="19" t="n"/>
      <c r="M137" s="18" t="n"/>
      <c r="N137" s="19" t="n"/>
      <c r="O137" s="24">
        <f>IF(OR(C137="",D137=""),"",C137&amp;"|"&amp;D137&amp;"|"&amp;TEXT(I137,"0.00"))</f>
        <v/>
      </c>
      <c r="P137" s="24">
        <f>IF(OR(F137="",K137=0),0,MAX(0,TODAY()-F137))</f>
        <v/>
      </c>
      <c r="Q137" s="24">
        <f>IF(OR(L137="Paid",L137="Cancelled",F137=""),"",IF(F137&lt;TODAY(),"OVERDUE",IF(F137&lt;=TODAY()+'Setup &amp; Lists'!$M$7,"DUE SOON","")))</f>
        <v/>
      </c>
      <c r="R137" s="18" t="n"/>
    </row>
    <row r="138">
      <c r="A138" s="19" t="n"/>
      <c r="B138" s="18" t="n"/>
      <c r="C138" s="19" t="n"/>
      <c r="D138" s="19" t="n"/>
      <c r="E138" s="20" t="n"/>
      <c r="F138" s="20" t="n"/>
      <c r="G138" s="19" t="n"/>
      <c r="H138" s="19" t="n"/>
      <c r="I138" s="21" t="n"/>
      <c r="J138" s="21" t="n"/>
      <c r="K138" s="22">
        <f>IF(I138="","",MAX(0,I138-J138))</f>
        <v/>
      </c>
      <c r="L138" s="19" t="n"/>
      <c r="M138" s="18" t="n"/>
      <c r="N138" s="19" t="n"/>
      <c r="O138" s="24">
        <f>IF(OR(C138="",D138=""),"",C138&amp;"|"&amp;D138&amp;"|"&amp;TEXT(I138,"0.00"))</f>
        <v/>
      </c>
      <c r="P138" s="24">
        <f>IF(OR(F138="",K138=0),0,MAX(0,TODAY()-F138))</f>
        <v/>
      </c>
      <c r="Q138" s="24">
        <f>IF(OR(L138="Paid",L138="Cancelled",F138=""),"",IF(F138&lt;TODAY(),"OVERDUE",IF(F138&lt;=TODAY()+'Setup &amp; Lists'!$M$7,"DUE SOON","")))</f>
        <v/>
      </c>
      <c r="R138" s="18" t="n"/>
    </row>
    <row r="139">
      <c r="A139" s="19" t="n"/>
      <c r="B139" s="18" t="n"/>
      <c r="C139" s="19" t="n"/>
      <c r="D139" s="19" t="n"/>
      <c r="E139" s="20" t="n"/>
      <c r="F139" s="20" t="n"/>
      <c r="G139" s="19" t="n"/>
      <c r="H139" s="19" t="n"/>
      <c r="I139" s="21" t="n"/>
      <c r="J139" s="21" t="n"/>
      <c r="K139" s="22">
        <f>IF(I139="","",MAX(0,I139-J139))</f>
        <v/>
      </c>
      <c r="L139" s="19" t="n"/>
      <c r="M139" s="18" t="n"/>
      <c r="N139" s="19" t="n"/>
      <c r="O139" s="24">
        <f>IF(OR(C139="",D139=""),"",C139&amp;"|"&amp;D139&amp;"|"&amp;TEXT(I139,"0.00"))</f>
        <v/>
      </c>
      <c r="P139" s="24">
        <f>IF(OR(F139="",K139=0),0,MAX(0,TODAY()-F139))</f>
        <v/>
      </c>
      <c r="Q139" s="24">
        <f>IF(OR(L139="Paid",L139="Cancelled",F139=""),"",IF(F139&lt;TODAY(),"OVERDUE",IF(F139&lt;=TODAY()+'Setup &amp; Lists'!$M$7,"DUE SOON","")))</f>
        <v/>
      </c>
      <c r="R139" s="18" t="n"/>
    </row>
    <row r="140">
      <c r="A140" s="19" t="n"/>
      <c r="B140" s="18" t="n"/>
      <c r="C140" s="19" t="n"/>
      <c r="D140" s="19" t="n"/>
      <c r="E140" s="20" t="n"/>
      <c r="F140" s="20" t="n"/>
      <c r="G140" s="19" t="n"/>
      <c r="H140" s="19" t="n"/>
      <c r="I140" s="21" t="n"/>
      <c r="J140" s="21" t="n"/>
      <c r="K140" s="22">
        <f>IF(I140="","",MAX(0,I140-J140))</f>
        <v/>
      </c>
      <c r="L140" s="19" t="n"/>
      <c r="M140" s="18" t="n"/>
      <c r="N140" s="19" t="n"/>
      <c r="O140" s="24">
        <f>IF(OR(C140="",D140=""),"",C140&amp;"|"&amp;D140&amp;"|"&amp;TEXT(I140,"0.00"))</f>
        <v/>
      </c>
      <c r="P140" s="24">
        <f>IF(OR(F140="",K140=0),0,MAX(0,TODAY()-F140))</f>
        <v/>
      </c>
      <c r="Q140" s="24">
        <f>IF(OR(L140="Paid",L140="Cancelled",F140=""),"",IF(F140&lt;TODAY(),"OVERDUE",IF(F140&lt;=TODAY()+'Setup &amp; Lists'!$M$7,"DUE SOON","")))</f>
        <v/>
      </c>
      <c r="R140" s="18" t="n"/>
    </row>
    <row r="141">
      <c r="A141" s="19" t="n"/>
      <c r="B141" s="18" t="n"/>
      <c r="C141" s="19" t="n"/>
      <c r="D141" s="19" t="n"/>
      <c r="E141" s="20" t="n"/>
      <c r="F141" s="20" t="n"/>
      <c r="G141" s="19" t="n"/>
      <c r="H141" s="19" t="n"/>
      <c r="I141" s="21" t="n"/>
      <c r="J141" s="21" t="n"/>
      <c r="K141" s="22">
        <f>IF(I141="","",MAX(0,I141-J141))</f>
        <v/>
      </c>
      <c r="L141" s="19" t="n"/>
      <c r="M141" s="18" t="n"/>
      <c r="N141" s="19" t="n"/>
      <c r="O141" s="24">
        <f>IF(OR(C141="",D141=""),"",C141&amp;"|"&amp;D141&amp;"|"&amp;TEXT(I141,"0.00"))</f>
        <v/>
      </c>
      <c r="P141" s="24">
        <f>IF(OR(F141="",K141=0),0,MAX(0,TODAY()-F141))</f>
        <v/>
      </c>
      <c r="Q141" s="24">
        <f>IF(OR(L141="Paid",L141="Cancelled",F141=""),"",IF(F141&lt;TODAY(),"OVERDUE",IF(F141&lt;=TODAY()+'Setup &amp; Lists'!$M$7,"DUE SOON","")))</f>
        <v/>
      </c>
      <c r="R141" s="18" t="n"/>
    </row>
    <row r="142">
      <c r="A142" s="19" t="n"/>
      <c r="B142" s="18" t="n"/>
      <c r="C142" s="19" t="n"/>
      <c r="D142" s="19" t="n"/>
      <c r="E142" s="20" t="n"/>
      <c r="F142" s="20" t="n"/>
      <c r="G142" s="19" t="n"/>
      <c r="H142" s="19" t="n"/>
      <c r="I142" s="21" t="n"/>
      <c r="J142" s="21" t="n"/>
      <c r="K142" s="22">
        <f>IF(I142="","",MAX(0,I142-J142))</f>
        <v/>
      </c>
      <c r="L142" s="19" t="n"/>
      <c r="M142" s="18" t="n"/>
      <c r="N142" s="19" t="n"/>
      <c r="O142" s="24">
        <f>IF(OR(C142="",D142=""),"",C142&amp;"|"&amp;D142&amp;"|"&amp;TEXT(I142,"0.00"))</f>
        <v/>
      </c>
      <c r="P142" s="24">
        <f>IF(OR(F142="",K142=0),0,MAX(0,TODAY()-F142))</f>
        <v/>
      </c>
      <c r="Q142" s="24">
        <f>IF(OR(L142="Paid",L142="Cancelled",F142=""),"",IF(F142&lt;TODAY(),"OVERDUE",IF(F142&lt;=TODAY()+'Setup &amp; Lists'!$M$7,"DUE SOON","")))</f>
        <v/>
      </c>
      <c r="R142" s="18" t="n"/>
    </row>
    <row r="143">
      <c r="A143" s="19" t="n"/>
      <c r="B143" s="18" t="n"/>
      <c r="C143" s="19" t="n"/>
      <c r="D143" s="19" t="n"/>
      <c r="E143" s="20" t="n"/>
      <c r="F143" s="20" t="n"/>
      <c r="G143" s="19" t="n"/>
      <c r="H143" s="19" t="n"/>
      <c r="I143" s="21" t="n"/>
      <c r="J143" s="21" t="n"/>
      <c r="K143" s="22">
        <f>IF(I143="","",MAX(0,I143-J143))</f>
        <v/>
      </c>
      <c r="L143" s="19" t="n"/>
      <c r="M143" s="18" t="n"/>
      <c r="N143" s="19" t="n"/>
      <c r="O143" s="24">
        <f>IF(OR(C143="",D143=""),"",C143&amp;"|"&amp;D143&amp;"|"&amp;TEXT(I143,"0.00"))</f>
        <v/>
      </c>
      <c r="P143" s="24">
        <f>IF(OR(F143="",K143=0),0,MAX(0,TODAY()-F143))</f>
        <v/>
      </c>
      <c r="Q143" s="24">
        <f>IF(OR(L143="Paid",L143="Cancelled",F143=""),"",IF(F143&lt;TODAY(),"OVERDUE",IF(F143&lt;=TODAY()+'Setup &amp; Lists'!$M$7,"DUE SOON","")))</f>
        <v/>
      </c>
      <c r="R143" s="18" t="n"/>
    </row>
    <row r="144">
      <c r="A144" s="19" t="n"/>
      <c r="B144" s="18" t="n"/>
      <c r="C144" s="19" t="n"/>
      <c r="D144" s="19" t="n"/>
      <c r="E144" s="20" t="n"/>
      <c r="F144" s="20" t="n"/>
      <c r="G144" s="19" t="n"/>
      <c r="H144" s="19" t="n"/>
      <c r="I144" s="21" t="n"/>
      <c r="J144" s="21" t="n"/>
      <c r="K144" s="22">
        <f>IF(I144="","",MAX(0,I144-J144))</f>
        <v/>
      </c>
      <c r="L144" s="19" t="n"/>
      <c r="M144" s="18" t="n"/>
      <c r="N144" s="19" t="n"/>
      <c r="O144" s="24">
        <f>IF(OR(C144="",D144=""),"",C144&amp;"|"&amp;D144&amp;"|"&amp;TEXT(I144,"0.00"))</f>
        <v/>
      </c>
      <c r="P144" s="24">
        <f>IF(OR(F144="",K144=0),0,MAX(0,TODAY()-F144))</f>
        <v/>
      </c>
      <c r="Q144" s="24">
        <f>IF(OR(L144="Paid",L144="Cancelled",F144=""),"",IF(F144&lt;TODAY(),"OVERDUE",IF(F144&lt;=TODAY()+'Setup &amp; Lists'!$M$7,"DUE SOON","")))</f>
        <v/>
      </c>
      <c r="R144" s="18" t="n"/>
    </row>
    <row r="145">
      <c r="A145" s="19" t="n"/>
      <c r="B145" s="18" t="n"/>
      <c r="C145" s="19" t="n"/>
      <c r="D145" s="19" t="n"/>
      <c r="E145" s="20" t="n"/>
      <c r="F145" s="20" t="n"/>
      <c r="G145" s="19" t="n"/>
      <c r="H145" s="19" t="n"/>
      <c r="I145" s="21" t="n"/>
      <c r="J145" s="21" t="n"/>
      <c r="K145" s="22">
        <f>IF(I145="","",MAX(0,I145-J145))</f>
        <v/>
      </c>
      <c r="L145" s="19" t="n"/>
      <c r="M145" s="18" t="n"/>
      <c r="N145" s="19" t="n"/>
      <c r="O145" s="24">
        <f>IF(OR(C145="",D145=""),"",C145&amp;"|"&amp;D145&amp;"|"&amp;TEXT(I145,"0.00"))</f>
        <v/>
      </c>
      <c r="P145" s="24">
        <f>IF(OR(F145="",K145=0),0,MAX(0,TODAY()-F145))</f>
        <v/>
      </c>
      <c r="Q145" s="24">
        <f>IF(OR(L145="Paid",L145="Cancelled",F145=""),"",IF(F145&lt;TODAY(),"OVERDUE",IF(F145&lt;=TODAY()+'Setup &amp; Lists'!$M$7,"DUE SOON","")))</f>
        <v/>
      </c>
      <c r="R145" s="18" t="n"/>
    </row>
    <row r="146">
      <c r="A146" s="19" t="n"/>
      <c r="B146" s="18" t="n"/>
      <c r="C146" s="19" t="n"/>
      <c r="D146" s="19" t="n"/>
      <c r="E146" s="20" t="n"/>
      <c r="F146" s="20" t="n"/>
      <c r="G146" s="19" t="n"/>
      <c r="H146" s="19" t="n"/>
      <c r="I146" s="21" t="n"/>
      <c r="J146" s="21" t="n"/>
      <c r="K146" s="22">
        <f>IF(I146="","",MAX(0,I146-J146))</f>
        <v/>
      </c>
      <c r="L146" s="19" t="n"/>
      <c r="M146" s="18" t="n"/>
      <c r="N146" s="19" t="n"/>
      <c r="O146" s="24">
        <f>IF(OR(C146="",D146=""),"",C146&amp;"|"&amp;D146&amp;"|"&amp;TEXT(I146,"0.00"))</f>
        <v/>
      </c>
      <c r="P146" s="24">
        <f>IF(OR(F146="",K146=0),0,MAX(0,TODAY()-F146))</f>
        <v/>
      </c>
      <c r="Q146" s="24">
        <f>IF(OR(L146="Paid",L146="Cancelled",F146=""),"",IF(F146&lt;TODAY(),"OVERDUE",IF(F146&lt;=TODAY()+'Setup &amp; Lists'!$M$7,"DUE SOON","")))</f>
        <v/>
      </c>
      <c r="R146" s="18" t="n"/>
    </row>
    <row r="147">
      <c r="A147" s="19" t="n"/>
      <c r="B147" s="18" t="n"/>
      <c r="C147" s="19" t="n"/>
      <c r="D147" s="19" t="n"/>
      <c r="E147" s="20" t="n"/>
      <c r="F147" s="20" t="n"/>
      <c r="G147" s="19" t="n"/>
      <c r="H147" s="19" t="n"/>
      <c r="I147" s="21" t="n"/>
      <c r="J147" s="21" t="n"/>
      <c r="K147" s="22">
        <f>IF(I147="","",MAX(0,I147-J147))</f>
        <v/>
      </c>
      <c r="L147" s="19" t="n"/>
      <c r="M147" s="18" t="n"/>
      <c r="N147" s="19" t="n"/>
      <c r="O147" s="24">
        <f>IF(OR(C147="",D147=""),"",C147&amp;"|"&amp;D147&amp;"|"&amp;TEXT(I147,"0.00"))</f>
        <v/>
      </c>
      <c r="P147" s="24">
        <f>IF(OR(F147="",K147=0),0,MAX(0,TODAY()-F147))</f>
        <v/>
      </c>
      <c r="Q147" s="24">
        <f>IF(OR(L147="Paid",L147="Cancelled",F147=""),"",IF(F147&lt;TODAY(),"OVERDUE",IF(F147&lt;=TODAY()+'Setup &amp; Lists'!$M$7,"DUE SOON","")))</f>
        <v/>
      </c>
      <c r="R147" s="18" t="n"/>
    </row>
    <row r="148">
      <c r="A148" s="19" t="n"/>
      <c r="B148" s="18" t="n"/>
      <c r="C148" s="19" t="n"/>
      <c r="D148" s="19" t="n"/>
      <c r="E148" s="20" t="n"/>
      <c r="F148" s="20" t="n"/>
      <c r="G148" s="19" t="n"/>
      <c r="H148" s="19" t="n"/>
      <c r="I148" s="21" t="n"/>
      <c r="J148" s="21" t="n"/>
      <c r="K148" s="22">
        <f>IF(I148="","",MAX(0,I148-J148))</f>
        <v/>
      </c>
      <c r="L148" s="19" t="n"/>
      <c r="M148" s="18" t="n"/>
      <c r="N148" s="19" t="n"/>
      <c r="O148" s="24">
        <f>IF(OR(C148="",D148=""),"",C148&amp;"|"&amp;D148&amp;"|"&amp;TEXT(I148,"0.00"))</f>
        <v/>
      </c>
      <c r="P148" s="24">
        <f>IF(OR(F148="",K148=0),0,MAX(0,TODAY()-F148))</f>
        <v/>
      </c>
      <c r="Q148" s="24">
        <f>IF(OR(L148="Paid",L148="Cancelled",F148=""),"",IF(F148&lt;TODAY(),"OVERDUE",IF(F148&lt;=TODAY()+'Setup &amp; Lists'!$M$7,"DUE SOON","")))</f>
        <v/>
      </c>
      <c r="R148" s="18" t="n"/>
    </row>
    <row r="149">
      <c r="A149" s="19" t="n"/>
      <c r="B149" s="18" t="n"/>
      <c r="C149" s="19" t="n"/>
      <c r="D149" s="19" t="n"/>
      <c r="E149" s="20" t="n"/>
      <c r="F149" s="20" t="n"/>
      <c r="G149" s="19" t="n"/>
      <c r="H149" s="19" t="n"/>
      <c r="I149" s="21" t="n"/>
      <c r="J149" s="21" t="n"/>
      <c r="K149" s="22">
        <f>IF(I149="","",MAX(0,I149-J149))</f>
        <v/>
      </c>
      <c r="L149" s="19" t="n"/>
      <c r="M149" s="18" t="n"/>
      <c r="N149" s="19" t="n"/>
      <c r="O149" s="24">
        <f>IF(OR(C149="",D149=""),"",C149&amp;"|"&amp;D149&amp;"|"&amp;TEXT(I149,"0.00"))</f>
        <v/>
      </c>
      <c r="P149" s="24">
        <f>IF(OR(F149="",K149=0),0,MAX(0,TODAY()-F149))</f>
        <v/>
      </c>
      <c r="Q149" s="24">
        <f>IF(OR(L149="Paid",L149="Cancelled",F149=""),"",IF(F149&lt;TODAY(),"OVERDUE",IF(F149&lt;=TODAY()+'Setup &amp; Lists'!$M$7,"DUE SOON","")))</f>
        <v/>
      </c>
      <c r="R149" s="18" t="n"/>
    </row>
    <row r="150">
      <c r="A150" s="19" t="n"/>
      <c r="B150" s="18" t="n"/>
      <c r="C150" s="19" t="n"/>
      <c r="D150" s="19" t="n"/>
      <c r="E150" s="20" t="n"/>
      <c r="F150" s="20" t="n"/>
      <c r="G150" s="19" t="n"/>
      <c r="H150" s="19" t="n"/>
      <c r="I150" s="21" t="n"/>
      <c r="J150" s="21" t="n"/>
      <c r="K150" s="22">
        <f>IF(I150="","",MAX(0,I150-J150))</f>
        <v/>
      </c>
      <c r="L150" s="19" t="n"/>
      <c r="M150" s="18" t="n"/>
      <c r="N150" s="19" t="n"/>
      <c r="O150" s="24">
        <f>IF(OR(C150="",D150=""),"",C150&amp;"|"&amp;D150&amp;"|"&amp;TEXT(I150,"0.00"))</f>
        <v/>
      </c>
      <c r="P150" s="24">
        <f>IF(OR(F150="",K150=0),0,MAX(0,TODAY()-F150))</f>
        <v/>
      </c>
      <c r="Q150" s="24">
        <f>IF(OR(L150="Paid",L150="Cancelled",F150=""),"",IF(F150&lt;TODAY(),"OVERDUE",IF(F150&lt;=TODAY()+'Setup &amp; Lists'!$M$7,"DUE SOON","")))</f>
        <v/>
      </c>
      <c r="R150" s="18" t="n"/>
    </row>
    <row r="151">
      <c r="A151" s="19" t="n"/>
      <c r="B151" s="18" t="n"/>
      <c r="C151" s="19" t="n"/>
      <c r="D151" s="19" t="n"/>
      <c r="E151" s="20" t="n"/>
      <c r="F151" s="20" t="n"/>
      <c r="G151" s="19" t="n"/>
      <c r="H151" s="19" t="n"/>
      <c r="I151" s="21" t="n"/>
      <c r="J151" s="21" t="n"/>
      <c r="K151" s="22">
        <f>IF(I151="","",MAX(0,I151-J151))</f>
        <v/>
      </c>
      <c r="L151" s="19" t="n"/>
      <c r="M151" s="18" t="n"/>
      <c r="N151" s="19" t="n"/>
      <c r="O151" s="24">
        <f>IF(OR(C151="",D151=""),"",C151&amp;"|"&amp;D151&amp;"|"&amp;TEXT(I151,"0.00"))</f>
        <v/>
      </c>
      <c r="P151" s="24">
        <f>IF(OR(F151="",K151=0),0,MAX(0,TODAY()-F151))</f>
        <v/>
      </c>
      <c r="Q151" s="24">
        <f>IF(OR(L151="Paid",L151="Cancelled",F151=""),"",IF(F151&lt;TODAY(),"OVERDUE",IF(F151&lt;=TODAY()+'Setup &amp; Lists'!$M$7,"DUE SOON","")))</f>
        <v/>
      </c>
      <c r="R151" s="18" t="n"/>
    </row>
    <row r="152">
      <c r="A152" s="19" t="n"/>
      <c r="B152" s="18" t="n"/>
      <c r="C152" s="19" t="n"/>
      <c r="D152" s="19" t="n"/>
      <c r="E152" s="20" t="n"/>
      <c r="F152" s="20" t="n"/>
      <c r="G152" s="19" t="n"/>
      <c r="H152" s="19" t="n"/>
      <c r="I152" s="21" t="n"/>
      <c r="J152" s="21" t="n"/>
      <c r="K152" s="22">
        <f>IF(I152="","",MAX(0,I152-J152))</f>
        <v/>
      </c>
      <c r="L152" s="19" t="n"/>
      <c r="M152" s="18" t="n"/>
      <c r="N152" s="19" t="n"/>
      <c r="O152" s="24">
        <f>IF(OR(C152="",D152=""),"",C152&amp;"|"&amp;D152&amp;"|"&amp;TEXT(I152,"0.00"))</f>
        <v/>
      </c>
      <c r="P152" s="24">
        <f>IF(OR(F152="",K152=0),0,MAX(0,TODAY()-F152))</f>
        <v/>
      </c>
      <c r="Q152" s="24">
        <f>IF(OR(L152="Paid",L152="Cancelled",F152=""),"",IF(F152&lt;TODAY(),"OVERDUE",IF(F152&lt;=TODAY()+'Setup &amp; Lists'!$M$7,"DUE SOON","")))</f>
        <v/>
      </c>
      <c r="R152" s="18" t="n"/>
    </row>
    <row r="153">
      <c r="A153" s="19" t="n"/>
      <c r="B153" s="18" t="n"/>
      <c r="C153" s="19" t="n"/>
      <c r="D153" s="19" t="n"/>
      <c r="E153" s="20" t="n"/>
      <c r="F153" s="20" t="n"/>
      <c r="G153" s="19" t="n"/>
      <c r="H153" s="19" t="n"/>
      <c r="I153" s="21" t="n"/>
      <c r="J153" s="21" t="n"/>
      <c r="K153" s="22">
        <f>IF(I153="","",MAX(0,I153-J153))</f>
        <v/>
      </c>
      <c r="L153" s="19" t="n"/>
      <c r="M153" s="18" t="n"/>
      <c r="N153" s="19" t="n"/>
      <c r="O153" s="24">
        <f>IF(OR(C153="",D153=""),"",C153&amp;"|"&amp;D153&amp;"|"&amp;TEXT(I153,"0.00"))</f>
        <v/>
      </c>
      <c r="P153" s="24">
        <f>IF(OR(F153="",K153=0),0,MAX(0,TODAY()-F153))</f>
        <v/>
      </c>
      <c r="Q153" s="24">
        <f>IF(OR(L153="Paid",L153="Cancelled",F153=""),"",IF(F153&lt;TODAY(),"OVERDUE",IF(F153&lt;=TODAY()+'Setup &amp; Lists'!$M$7,"DUE SOON","")))</f>
        <v/>
      </c>
      <c r="R153" s="18" t="n"/>
    </row>
    <row r="154">
      <c r="A154" s="19" t="n"/>
      <c r="B154" s="18" t="n"/>
      <c r="C154" s="19" t="n"/>
      <c r="D154" s="19" t="n"/>
      <c r="E154" s="20" t="n"/>
      <c r="F154" s="20" t="n"/>
      <c r="G154" s="19" t="n"/>
      <c r="H154" s="19" t="n"/>
      <c r="I154" s="21" t="n"/>
      <c r="J154" s="21" t="n"/>
      <c r="K154" s="22">
        <f>IF(I154="","",MAX(0,I154-J154))</f>
        <v/>
      </c>
      <c r="L154" s="19" t="n"/>
      <c r="M154" s="18" t="n"/>
      <c r="N154" s="19" t="n"/>
      <c r="O154" s="24">
        <f>IF(OR(C154="",D154=""),"",C154&amp;"|"&amp;D154&amp;"|"&amp;TEXT(I154,"0.00"))</f>
        <v/>
      </c>
      <c r="P154" s="24">
        <f>IF(OR(F154="",K154=0),0,MAX(0,TODAY()-F154))</f>
        <v/>
      </c>
      <c r="Q154" s="24">
        <f>IF(OR(L154="Paid",L154="Cancelled",F154=""),"",IF(F154&lt;TODAY(),"OVERDUE",IF(F154&lt;=TODAY()+'Setup &amp; Lists'!$M$7,"DUE SOON","")))</f>
        <v/>
      </c>
      <c r="R154" s="18" t="n"/>
    </row>
    <row r="155">
      <c r="A155" s="19" t="n"/>
      <c r="B155" s="18" t="n"/>
      <c r="C155" s="19" t="n"/>
      <c r="D155" s="19" t="n"/>
      <c r="E155" s="20" t="n"/>
      <c r="F155" s="20" t="n"/>
      <c r="G155" s="19" t="n"/>
      <c r="H155" s="19" t="n"/>
      <c r="I155" s="21" t="n"/>
      <c r="J155" s="21" t="n"/>
      <c r="K155" s="22">
        <f>IF(I155="","",MAX(0,I155-J155))</f>
        <v/>
      </c>
      <c r="L155" s="19" t="n"/>
      <c r="M155" s="18" t="n"/>
      <c r="N155" s="19" t="n"/>
      <c r="O155" s="24">
        <f>IF(OR(C155="",D155=""),"",C155&amp;"|"&amp;D155&amp;"|"&amp;TEXT(I155,"0.00"))</f>
        <v/>
      </c>
      <c r="P155" s="24">
        <f>IF(OR(F155="",K155=0),0,MAX(0,TODAY()-F155))</f>
        <v/>
      </c>
      <c r="Q155" s="24">
        <f>IF(OR(L155="Paid",L155="Cancelled",F155=""),"",IF(F155&lt;TODAY(),"OVERDUE",IF(F155&lt;=TODAY()+'Setup &amp; Lists'!$M$7,"DUE SOON","")))</f>
        <v/>
      </c>
      <c r="R155" s="18" t="n"/>
    </row>
    <row r="156">
      <c r="A156" s="19" t="n"/>
      <c r="B156" s="18" t="n"/>
      <c r="C156" s="19" t="n"/>
      <c r="D156" s="19" t="n"/>
      <c r="E156" s="20" t="n"/>
      <c r="F156" s="20" t="n"/>
      <c r="G156" s="19" t="n"/>
      <c r="H156" s="19" t="n"/>
      <c r="I156" s="21" t="n"/>
      <c r="J156" s="21" t="n"/>
      <c r="K156" s="22">
        <f>IF(I156="","",MAX(0,I156-J156))</f>
        <v/>
      </c>
      <c r="L156" s="19" t="n"/>
      <c r="M156" s="18" t="n"/>
      <c r="N156" s="19" t="n"/>
      <c r="O156" s="24">
        <f>IF(OR(C156="",D156=""),"",C156&amp;"|"&amp;D156&amp;"|"&amp;TEXT(I156,"0.00"))</f>
        <v/>
      </c>
      <c r="P156" s="24">
        <f>IF(OR(F156="",K156=0),0,MAX(0,TODAY()-F156))</f>
        <v/>
      </c>
      <c r="Q156" s="24">
        <f>IF(OR(L156="Paid",L156="Cancelled",F156=""),"",IF(F156&lt;TODAY(),"OVERDUE",IF(F156&lt;=TODAY()+'Setup &amp; Lists'!$M$7,"DUE SOON","")))</f>
        <v/>
      </c>
      <c r="R156" s="18" t="n"/>
    </row>
    <row r="157">
      <c r="A157" s="19" t="n"/>
      <c r="B157" s="18" t="n"/>
      <c r="C157" s="19" t="n"/>
      <c r="D157" s="19" t="n"/>
      <c r="E157" s="20" t="n"/>
      <c r="F157" s="20" t="n"/>
      <c r="G157" s="19" t="n"/>
      <c r="H157" s="19" t="n"/>
      <c r="I157" s="21" t="n"/>
      <c r="J157" s="21" t="n"/>
      <c r="K157" s="22">
        <f>IF(I157="","",MAX(0,I157-J157))</f>
        <v/>
      </c>
      <c r="L157" s="19" t="n"/>
      <c r="M157" s="18" t="n"/>
      <c r="N157" s="19" t="n"/>
      <c r="O157" s="24">
        <f>IF(OR(C157="",D157=""),"",C157&amp;"|"&amp;D157&amp;"|"&amp;TEXT(I157,"0.00"))</f>
        <v/>
      </c>
      <c r="P157" s="24">
        <f>IF(OR(F157="",K157=0),0,MAX(0,TODAY()-F157))</f>
        <v/>
      </c>
      <c r="Q157" s="24">
        <f>IF(OR(L157="Paid",L157="Cancelled",F157=""),"",IF(F157&lt;TODAY(),"OVERDUE",IF(F157&lt;=TODAY()+'Setup &amp; Lists'!$M$7,"DUE SOON","")))</f>
        <v/>
      </c>
      <c r="R157" s="18" t="n"/>
    </row>
    <row r="158">
      <c r="A158" s="19" t="n"/>
      <c r="B158" s="18" t="n"/>
      <c r="C158" s="19" t="n"/>
      <c r="D158" s="19" t="n"/>
      <c r="E158" s="20" t="n"/>
      <c r="F158" s="20" t="n"/>
      <c r="G158" s="19" t="n"/>
      <c r="H158" s="19" t="n"/>
      <c r="I158" s="21" t="n"/>
      <c r="J158" s="21" t="n"/>
      <c r="K158" s="22">
        <f>IF(I158="","",MAX(0,I158-J158))</f>
        <v/>
      </c>
      <c r="L158" s="19" t="n"/>
      <c r="M158" s="18" t="n"/>
      <c r="N158" s="19" t="n"/>
      <c r="O158" s="24">
        <f>IF(OR(C158="",D158=""),"",C158&amp;"|"&amp;D158&amp;"|"&amp;TEXT(I158,"0.00"))</f>
        <v/>
      </c>
      <c r="P158" s="24">
        <f>IF(OR(F158="",K158=0),0,MAX(0,TODAY()-F158))</f>
        <v/>
      </c>
      <c r="Q158" s="24">
        <f>IF(OR(L158="Paid",L158="Cancelled",F158=""),"",IF(F158&lt;TODAY(),"OVERDUE",IF(F158&lt;=TODAY()+'Setup &amp; Lists'!$M$7,"DUE SOON","")))</f>
        <v/>
      </c>
      <c r="R158" s="18" t="n"/>
    </row>
    <row r="159">
      <c r="A159" s="19" t="n"/>
      <c r="B159" s="18" t="n"/>
      <c r="C159" s="19" t="n"/>
      <c r="D159" s="19" t="n"/>
      <c r="E159" s="20" t="n"/>
      <c r="F159" s="20" t="n"/>
      <c r="G159" s="19" t="n"/>
      <c r="H159" s="19" t="n"/>
      <c r="I159" s="21" t="n"/>
      <c r="J159" s="21" t="n"/>
      <c r="K159" s="22">
        <f>IF(I159="","",MAX(0,I159-J159))</f>
        <v/>
      </c>
      <c r="L159" s="19" t="n"/>
      <c r="M159" s="18" t="n"/>
      <c r="N159" s="19" t="n"/>
      <c r="O159" s="24">
        <f>IF(OR(C159="",D159=""),"",C159&amp;"|"&amp;D159&amp;"|"&amp;TEXT(I159,"0.00"))</f>
        <v/>
      </c>
      <c r="P159" s="24">
        <f>IF(OR(F159="",K159=0),0,MAX(0,TODAY()-F159))</f>
        <v/>
      </c>
      <c r="Q159" s="24">
        <f>IF(OR(L159="Paid",L159="Cancelled",F159=""),"",IF(F159&lt;TODAY(),"OVERDUE",IF(F159&lt;=TODAY()+'Setup &amp; Lists'!$M$7,"DUE SOON","")))</f>
        <v/>
      </c>
      <c r="R159" s="18" t="n"/>
    </row>
    <row r="160">
      <c r="A160" s="19" t="n"/>
      <c r="B160" s="18" t="n"/>
      <c r="C160" s="19" t="n"/>
      <c r="D160" s="19" t="n"/>
      <c r="E160" s="20" t="n"/>
      <c r="F160" s="20" t="n"/>
      <c r="G160" s="19" t="n"/>
      <c r="H160" s="19" t="n"/>
      <c r="I160" s="21" t="n"/>
      <c r="J160" s="21" t="n"/>
      <c r="K160" s="22">
        <f>IF(I160="","",MAX(0,I160-J160))</f>
        <v/>
      </c>
      <c r="L160" s="19" t="n"/>
      <c r="M160" s="18" t="n"/>
      <c r="N160" s="19" t="n"/>
      <c r="O160" s="24">
        <f>IF(OR(C160="",D160=""),"",C160&amp;"|"&amp;D160&amp;"|"&amp;TEXT(I160,"0.00"))</f>
        <v/>
      </c>
      <c r="P160" s="24">
        <f>IF(OR(F160="",K160=0),0,MAX(0,TODAY()-F160))</f>
        <v/>
      </c>
      <c r="Q160" s="24">
        <f>IF(OR(L160="Paid",L160="Cancelled",F160=""),"",IF(F160&lt;TODAY(),"OVERDUE",IF(F160&lt;=TODAY()+'Setup &amp; Lists'!$M$7,"DUE SOON","")))</f>
        <v/>
      </c>
      <c r="R160" s="18" t="n"/>
    </row>
    <row r="161">
      <c r="A161" s="19" t="n"/>
      <c r="B161" s="18" t="n"/>
      <c r="C161" s="19" t="n"/>
      <c r="D161" s="19" t="n"/>
      <c r="E161" s="20" t="n"/>
      <c r="F161" s="20" t="n"/>
      <c r="G161" s="19" t="n"/>
      <c r="H161" s="19" t="n"/>
      <c r="I161" s="21" t="n"/>
      <c r="J161" s="21" t="n"/>
      <c r="K161" s="22">
        <f>IF(I161="","",MAX(0,I161-J161))</f>
        <v/>
      </c>
      <c r="L161" s="19" t="n"/>
      <c r="M161" s="18" t="n"/>
      <c r="N161" s="19" t="n"/>
      <c r="O161" s="24">
        <f>IF(OR(C161="",D161=""),"",C161&amp;"|"&amp;D161&amp;"|"&amp;TEXT(I161,"0.00"))</f>
        <v/>
      </c>
      <c r="P161" s="24">
        <f>IF(OR(F161="",K161=0),0,MAX(0,TODAY()-F161))</f>
        <v/>
      </c>
      <c r="Q161" s="24">
        <f>IF(OR(L161="Paid",L161="Cancelled",F161=""),"",IF(F161&lt;TODAY(),"OVERDUE",IF(F161&lt;=TODAY()+'Setup &amp; Lists'!$M$7,"DUE SOON","")))</f>
        <v/>
      </c>
      <c r="R161" s="18" t="n"/>
    </row>
    <row r="162">
      <c r="A162" s="19" t="n"/>
      <c r="B162" s="18" t="n"/>
      <c r="C162" s="19" t="n"/>
      <c r="D162" s="19" t="n"/>
      <c r="E162" s="20" t="n"/>
      <c r="F162" s="20" t="n"/>
      <c r="G162" s="19" t="n"/>
      <c r="H162" s="19" t="n"/>
      <c r="I162" s="21" t="n"/>
      <c r="J162" s="21" t="n"/>
      <c r="K162" s="22">
        <f>IF(I162="","",MAX(0,I162-J162))</f>
        <v/>
      </c>
      <c r="L162" s="19" t="n"/>
      <c r="M162" s="18" t="n"/>
      <c r="N162" s="19" t="n"/>
      <c r="O162" s="24">
        <f>IF(OR(C162="",D162=""),"",C162&amp;"|"&amp;D162&amp;"|"&amp;TEXT(I162,"0.00"))</f>
        <v/>
      </c>
      <c r="P162" s="24">
        <f>IF(OR(F162="",K162=0),0,MAX(0,TODAY()-F162))</f>
        <v/>
      </c>
      <c r="Q162" s="24">
        <f>IF(OR(L162="Paid",L162="Cancelled",F162=""),"",IF(F162&lt;TODAY(),"OVERDUE",IF(F162&lt;=TODAY()+'Setup &amp; Lists'!$M$7,"DUE SOON","")))</f>
        <v/>
      </c>
      <c r="R162" s="18" t="n"/>
    </row>
    <row r="163">
      <c r="A163" s="19" t="n"/>
      <c r="B163" s="18" t="n"/>
      <c r="C163" s="19" t="n"/>
      <c r="D163" s="19" t="n"/>
      <c r="E163" s="20" t="n"/>
      <c r="F163" s="20" t="n"/>
      <c r="G163" s="19" t="n"/>
      <c r="H163" s="19" t="n"/>
      <c r="I163" s="21" t="n"/>
      <c r="J163" s="21" t="n"/>
      <c r="K163" s="22">
        <f>IF(I163="","",MAX(0,I163-J163))</f>
        <v/>
      </c>
      <c r="L163" s="19" t="n"/>
      <c r="M163" s="18" t="n"/>
      <c r="N163" s="19" t="n"/>
      <c r="O163" s="24">
        <f>IF(OR(C163="",D163=""),"",C163&amp;"|"&amp;D163&amp;"|"&amp;TEXT(I163,"0.00"))</f>
        <v/>
      </c>
      <c r="P163" s="24">
        <f>IF(OR(F163="",K163=0),0,MAX(0,TODAY()-F163))</f>
        <v/>
      </c>
      <c r="Q163" s="24">
        <f>IF(OR(L163="Paid",L163="Cancelled",F163=""),"",IF(F163&lt;TODAY(),"OVERDUE",IF(F163&lt;=TODAY()+'Setup &amp; Lists'!$M$7,"DUE SOON","")))</f>
        <v/>
      </c>
      <c r="R163" s="18" t="n"/>
    </row>
    <row r="164">
      <c r="A164" s="19" t="n"/>
      <c r="B164" s="18" t="n"/>
      <c r="C164" s="19" t="n"/>
      <c r="D164" s="19" t="n"/>
      <c r="E164" s="20" t="n"/>
      <c r="F164" s="20" t="n"/>
      <c r="G164" s="19" t="n"/>
      <c r="H164" s="19" t="n"/>
      <c r="I164" s="21" t="n"/>
      <c r="J164" s="21" t="n"/>
      <c r="K164" s="22">
        <f>IF(I164="","",MAX(0,I164-J164))</f>
        <v/>
      </c>
      <c r="L164" s="19" t="n"/>
      <c r="M164" s="18" t="n"/>
      <c r="N164" s="19" t="n"/>
      <c r="O164" s="24">
        <f>IF(OR(C164="",D164=""),"",C164&amp;"|"&amp;D164&amp;"|"&amp;TEXT(I164,"0.00"))</f>
        <v/>
      </c>
      <c r="P164" s="24">
        <f>IF(OR(F164="",K164=0),0,MAX(0,TODAY()-F164))</f>
        <v/>
      </c>
      <c r="Q164" s="24">
        <f>IF(OR(L164="Paid",L164="Cancelled",F164=""),"",IF(F164&lt;TODAY(),"OVERDUE",IF(F164&lt;=TODAY()+'Setup &amp; Lists'!$M$7,"DUE SOON","")))</f>
        <v/>
      </c>
      <c r="R164" s="18" t="n"/>
    </row>
    <row r="165">
      <c r="A165" s="19" t="n"/>
      <c r="B165" s="18" t="n"/>
      <c r="C165" s="19" t="n"/>
      <c r="D165" s="19" t="n"/>
      <c r="E165" s="20" t="n"/>
      <c r="F165" s="20" t="n"/>
      <c r="G165" s="19" t="n"/>
      <c r="H165" s="19" t="n"/>
      <c r="I165" s="21" t="n"/>
      <c r="J165" s="21" t="n"/>
      <c r="K165" s="22">
        <f>IF(I165="","",MAX(0,I165-J165))</f>
        <v/>
      </c>
      <c r="L165" s="19" t="n"/>
      <c r="M165" s="18" t="n"/>
      <c r="N165" s="19" t="n"/>
      <c r="O165" s="24">
        <f>IF(OR(C165="",D165=""),"",C165&amp;"|"&amp;D165&amp;"|"&amp;TEXT(I165,"0.00"))</f>
        <v/>
      </c>
      <c r="P165" s="24">
        <f>IF(OR(F165="",K165=0),0,MAX(0,TODAY()-F165))</f>
        <v/>
      </c>
      <c r="Q165" s="24">
        <f>IF(OR(L165="Paid",L165="Cancelled",F165=""),"",IF(F165&lt;TODAY(),"OVERDUE",IF(F165&lt;=TODAY()+'Setup &amp; Lists'!$M$7,"DUE SOON","")))</f>
        <v/>
      </c>
      <c r="R165" s="18" t="n"/>
    </row>
    <row r="166">
      <c r="A166" s="19" t="n"/>
      <c r="B166" s="18" t="n"/>
      <c r="C166" s="19" t="n"/>
      <c r="D166" s="19" t="n"/>
      <c r="E166" s="20" t="n"/>
      <c r="F166" s="20" t="n"/>
      <c r="G166" s="19" t="n"/>
      <c r="H166" s="19" t="n"/>
      <c r="I166" s="21" t="n"/>
      <c r="J166" s="21" t="n"/>
      <c r="K166" s="22">
        <f>IF(I166="","",MAX(0,I166-J166))</f>
        <v/>
      </c>
      <c r="L166" s="19" t="n"/>
      <c r="M166" s="18" t="n"/>
      <c r="N166" s="19" t="n"/>
      <c r="O166" s="24">
        <f>IF(OR(C166="",D166=""),"",C166&amp;"|"&amp;D166&amp;"|"&amp;TEXT(I166,"0.00"))</f>
        <v/>
      </c>
      <c r="P166" s="24">
        <f>IF(OR(F166="",K166=0),0,MAX(0,TODAY()-F166))</f>
        <v/>
      </c>
      <c r="Q166" s="24">
        <f>IF(OR(L166="Paid",L166="Cancelled",F166=""),"",IF(F166&lt;TODAY(),"OVERDUE",IF(F166&lt;=TODAY()+'Setup &amp; Lists'!$M$7,"DUE SOON","")))</f>
        <v/>
      </c>
      <c r="R166" s="18" t="n"/>
    </row>
    <row r="167">
      <c r="A167" s="19" t="n"/>
      <c r="B167" s="18" t="n"/>
      <c r="C167" s="19" t="n"/>
      <c r="D167" s="19" t="n"/>
      <c r="E167" s="20" t="n"/>
      <c r="F167" s="20" t="n"/>
      <c r="G167" s="19" t="n"/>
      <c r="H167" s="19" t="n"/>
      <c r="I167" s="21" t="n"/>
      <c r="J167" s="21" t="n"/>
      <c r="K167" s="22">
        <f>IF(I167="","",MAX(0,I167-J167))</f>
        <v/>
      </c>
      <c r="L167" s="19" t="n"/>
      <c r="M167" s="18" t="n"/>
      <c r="N167" s="19" t="n"/>
      <c r="O167" s="24">
        <f>IF(OR(C167="",D167=""),"",C167&amp;"|"&amp;D167&amp;"|"&amp;TEXT(I167,"0.00"))</f>
        <v/>
      </c>
      <c r="P167" s="24">
        <f>IF(OR(F167="",K167=0),0,MAX(0,TODAY()-F167))</f>
        <v/>
      </c>
      <c r="Q167" s="24">
        <f>IF(OR(L167="Paid",L167="Cancelled",F167=""),"",IF(F167&lt;TODAY(),"OVERDUE",IF(F167&lt;=TODAY()+'Setup &amp; Lists'!$M$7,"DUE SOON","")))</f>
        <v/>
      </c>
      <c r="R167" s="18" t="n"/>
    </row>
    <row r="168">
      <c r="A168" s="19" t="n"/>
      <c r="B168" s="18" t="n"/>
      <c r="C168" s="19" t="n"/>
      <c r="D168" s="19" t="n"/>
      <c r="E168" s="20" t="n"/>
      <c r="F168" s="20" t="n"/>
      <c r="G168" s="19" t="n"/>
      <c r="H168" s="19" t="n"/>
      <c r="I168" s="21" t="n"/>
      <c r="J168" s="21" t="n"/>
      <c r="K168" s="22">
        <f>IF(I168="","",MAX(0,I168-J168))</f>
        <v/>
      </c>
      <c r="L168" s="19" t="n"/>
      <c r="M168" s="18" t="n"/>
      <c r="N168" s="19" t="n"/>
      <c r="O168" s="24">
        <f>IF(OR(C168="",D168=""),"",C168&amp;"|"&amp;D168&amp;"|"&amp;TEXT(I168,"0.00"))</f>
        <v/>
      </c>
      <c r="P168" s="24">
        <f>IF(OR(F168="",K168=0),0,MAX(0,TODAY()-F168))</f>
        <v/>
      </c>
      <c r="Q168" s="24">
        <f>IF(OR(L168="Paid",L168="Cancelled",F168=""),"",IF(F168&lt;TODAY(),"OVERDUE",IF(F168&lt;=TODAY()+'Setup &amp; Lists'!$M$7,"DUE SOON","")))</f>
        <v/>
      </c>
      <c r="R168" s="18" t="n"/>
    </row>
    <row r="169">
      <c r="A169" s="19" t="n"/>
      <c r="B169" s="18" t="n"/>
      <c r="C169" s="19" t="n"/>
      <c r="D169" s="19" t="n"/>
      <c r="E169" s="20" t="n"/>
      <c r="F169" s="20" t="n"/>
      <c r="G169" s="19" t="n"/>
      <c r="H169" s="19" t="n"/>
      <c r="I169" s="21" t="n"/>
      <c r="J169" s="21" t="n"/>
      <c r="K169" s="22">
        <f>IF(I169="","",MAX(0,I169-J169))</f>
        <v/>
      </c>
      <c r="L169" s="19" t="n"/>
      <c r="M169" s="18" t="n"/>
      <c r="N169" s="19" t="n"/>
      <c r="O169" s="24">
        <f>IF(OR(C169="",D169=""),"",C169&amp;"|"&amp;D169&amp;"|"&amp;TEXT(I169,"0.00"))</f>
        <v/>
      </c>
      <c r="P169" s="24">
        <f>IF(OR(F169="",K169=0),0,MAX(0,TODAY()-F169))</f>
        <v/>
      </c>
      <c r="Q169" s="24">
        <f>IF(OR(L169="Paid",L169="Cancelled",F169=""),"",IF(F169&lt;TODAY(),"OVERDUE",IF(F169&lt;=TODAY()+'Setup &amp; Lists'!$M$7,"DUE SOON","")))</f>
        <v/>
      </c>
      <c r="R169" s="18" t="n"/>
    </row>
    <row r="170">
      <c r="A170" s="19" t="n"/>
      <c r="B170" s="18" t="n"/>
      <c r="C170" s="19" t="n"/>
      <c r="D170" s="19" t="n"/>
      <c r="E170" s="20" t="n"/>
      <c r="F170" s="20" t="n"/>
      <c r="G170" s="19" t="n"/>
      <c r="H170" s="19" t="n"/>
      <c r="I170" s="21" t="n"/>
      <c r="J170" s="21" t="n"/>
      <c r="K170" s="22">
        <f>IF(I170="","",MAX(0,I170-J170))</f>
        <v/>
      </c>
      <c r="L170" s="19" t="n"/>
      <c r="M170" s="18" t="n"/>
      <c r="N170" s="19" t="n"/>
      <c r="O170" s="24">
        <f>IF(OR(C170="",D170=""),"",C170&amp;"|"&amp;D170&amp;"|"&amp;TEXT(I170,"0.00"))</f>
        <v/>
      </c>
      <c r="P170" s="24">
        <f>IF(OR(F170="",K170=0),0,MAX(0,TODAY()-F170))</f>
        <v/>
      </c>
      <c r="Q170" s="24">
        <f>IF(OR(L170="Paid",L170="Cancelled",F170=""),"",IF(F170&lt;TODAY(),"OVERDUE",IF(F170&lt;=TODAY()+'Setup &amp; Lists'!$M$7,"DUE SOON","")))</f>
        <v/>
      </c>
      <c r="R170" s="18" t="n"/>
    </row>
    <row r="171">
      <c r="A171" s="19" t="n"/>
      <c r="B171" s="18" t="n"/>
      <c r="C171" s="19" t="n"/>
      <c r="D171" s="19" t="n"/>
      <c r="E171" s="20" t="n"/>
      <c r="F171" s="20" t="n"/>
      <c r="G171" s="19" t="n"/>
      <c r="H171" s="19" t="n"/>
      <c r="I171" s="21" t="n"/>
      <c r="J171" s="21" t="n"/>
      <c r="K171" s="22">
        <f>IF(I171="","",MAX(0,I171-J171))</f>
        <v/>
      </c>
      <c r="L171" s="19" t="n"/>
      <c r="M171" s="18" t="n"/>
      <c r="N171" s="19" t="n"/>
      <c r="O171" s="24">
        <f>IF(OR(C171="",D171=""),"",C171&amp;"|"&amp;D171&amp;"|"&amp;TEXT(I171,"0.00"))</f>
        <v/>
      </c>
      <c r="P171" s="24">
        <f>IF(OR(F171="",K171=0),0,MAX(0,TODAY()-F171))</f>
        <v/>
      </c>
      <c r="Q171" s="24">
        <f>IF(OR(L171="Paid",L171="Cancelled",F171=""),"",IF(F171&lt;TODAY(),"OVERDUE",IF(F171&lt;=TODAY()+'Setup &amp; Lists'!$M$7,"DUE SOON","")))</f>
        <v/>
      </c>
      <c r="R171" s="18" t="n"/>
    </row>
    <row r="172">
      <c r="A172" s="19" t="n"/>
      <c r="B172" s="18" t="n"/>
      <c r="C172" s="19" t="n"/>
      <c r="D172" s="19" t="n"/>
      <c r="E172" s="20" t="n"/>
      <c r="F172" s="20" t="n"/>
      <c r="G172" s="19" t="n"/>
      <c r="H172" s="19" t="n"/>
      <c r="I172" s="21" t="n"/>
      <c r="J172" s="21" t="n"/>
      <c r="K172" s="22">
        <f>IF(I172="","",MAX(0,I172-J172))</f>
        <v/>
      </c>
      <c r="L172" s="19" t="n"/>
      <c r="M172" s="18" t="n"/>
      <c r="N172" s="19" t="n"/>
      <c r="O172" s="24">
        <f>IF(OR(C172="",D172=""),"",C172&amp;"|"&amp;D172&amp;"|"&amp;TEXT(I172,"0.00"))</f>
        <v/>
      </c>
      <c r="P172" s="24">
        <f>IF(OR(F172="",K172=0),0,MAX(0,TODAY()-F172))</f>
        <v/>
      </c>
      <c r="Q172" s="24">
        <f>IF(OR(L172="Paid",L172="Cancelled",F172=""),"",IF(F172&lt;TODAY(),"OVERDUE",IF(F172&lt;=TODAY()+'Setup &amp; Lists'!$M$7,"DUE SOON","")))</f>
        <v/>
      </c>
      <c r="R172" s="18" t="n"/>
    </row>
    <row r="173">
      <c r="A173" s="19" t="n"/>
      <c r="B173" s="18" t="n"/>
      <c r="C173" s="19" t="n"/>
      <c r="D173" s="19" t="n"/>
      <c r="E173" s="20" t="n"/>
      <c r="F173" s="20" t="n"/>
      <c r="G173" s="19" t="n"/>
      <c r="H173" s="19" t="n"/>
      <c r="I173" s="21" t="n"/>
      <c r="J173" s="21" t="n"/>
      <c r="K173" s="22">
        <f>IF(I173="","",MAX(0,I173-J173))</f>
        <v/>
      </c>
      <c r="L173" s="19" t="n"/>
      <c r="M173" s="18" t="n"/>
      <c r="N173" s="19" t="n"/>
      <c r="O173" s="24">
        <f>IF(OR(C173="",D173=""),"",C173&amp;"|"&amp;D173&amp;"|"&amp;TEXT(I173,"0.00"))</f>
        <v/>
      </c>
      <c r="P173" s="24">
        <f>IF(OR(F173="",K173=0),0,MAX(0,TODAY()-F173))</f>
        <v/>
      </c>
      <c r="Q173" s="24">
        <f>IF(OR(L173="Paid",L173="Cancelled",F173=""),"",IF(F173&lt;TODAY(),"OVERDUE",IF(F173&lt;=TODAY()+'Setup &amp; Lists'!$M$7,"DUE SOON","")))</f>
        <v/>
      </c>
      <c r="R173" s="18" t="n"/>
    </row>
    <row r="174">
      <c r="A174" s="19" t="n"/>
      <c r="B174" s="18" t="n"/>
      <c r="C174" s="19" t="n"/>
      <c r="D174" s="19" t="n"/>
      <c r="E174" s="20" t="n"/>
      <c r="F174" s="20" t="n"/>
      <c r="G174" s="19" t="n"/>
      <c r="H174" s="19" t="n"/>
      <c r="I174" s="21" t="n"/>
      <c r="J174" s="21" t="n"/>
      <c r="K174" s="22">
        <f>IF(I174="","",MAX(0,I174-J174))</f>
        <v/>
      </c>
      <c r="L174" s="19" t="n"/>
      <c r="M174" s="18" t="n"/>
      <c r="N174" s="19" t="n"/>
      <c r="O174" s="24">
        <f>IF(OR(C174="",D174=""),"",C174&amp;"|"&amp;D174&amp;"|"&amp;TEXT(I174,"0.00"))</f>
        <v/>
      </c>
      <c r="P174" s="24">
        <f>IF(OR(F174="",K174=0),0,MAX(0,TODAY()-F174))</f>
        <v/>
      </c>
      <c r="Q174" s="24">
        <f>IF(OR(L174="Paid",L174="Cancelled",F174=""),"",IF(F174&lt;TODAY(),"OVERDUE",IF(F174&lt;=TODAY()+'Setup &amp; Lists'!$M$7,"DUE SOON","")))</f>
        <v/>
      </c>
      <c r="R174" s="18" t="n"/>
    </row>
    <row r="175">
      <c r="A175" s="19" t="n"/>
      <c r="B175" s="18" t="n"/>
      <c r="C175" s="19" t="n"/>
      <c r="D175" s="19" t="n"/>
      <c r="E175" s="20" t="n"/>
      <c r="F175" s="20" t="n"/>
      <c r="G175" s="19" t="n"/>
      <c r="H175" s="19" t="n"/>
      <c r="I175" s="21" t="n"/>
      <c r="J175" s="21" t="n"/>
      <c r="K175" s="22">
        <f>IF(I175="","",MAX(0,I175-J175))</f>
        <v/>
      </c>
      <c r="L175" s="19" t="n"/>
      <c r="M175" s="18" t="n"/>
      <c r="N175" s="19" t="n"/>
      <c r="O175" s="24">
        <f>IF(OR(C175="",D175=""),"",C175&amp;"|"&amp;D175&amp;"|"&amp;TEXT(I175,"0.00"))</f>
        <v/>
      </c>
      <c r="P175" s="24">
        <f>IF(OR(F175="",K175=0),0,MAX(0,TODAY()-F175))</f>
        <v/>
      </c>
      <c r="Q175" s="24">
        <f>IF(OR(L175="Paid",L175="Cancelled",F175=""),"",IF(F175&lt;TODAY(),"OVERDUE",IF(F175&lt;=TODAY()+'Setup &amp; Lists'!$M$7,"DUE SOON","")))</f>
        <v/>
      </c>
      <c r="R175" s="18" t="n"/>
    </row>
    <row r="176">
      <c r="A176" s="19" t="n"/>
      <c r="B176" s="18" t="n"/>
      <c r="C176" s="19" t="n"/>
      <c r="D176" s="19" t="n"/>
      <c r="E176" s="20" t="n"/>
      <c r="F176" s="20" t="n"/>
      <c r="G176" s="19" t="n"/>
      <c r="H176" s="19" t="n"/>
      <c r="I176" s="21" t="n"/>
      <c r="J176" s="21" t="n"/>
      <c r="K176" s="22">
        <f>IF(I176="","",MAX(0,I176-J176))</f>
        <v/>
      </c>
      <c r="L176" s="19" t="n"/>
      <c r="M176" s="18" t="n"/>
      <c r="N176" s="19" t="n"/>
      <c r="O176" s="24">
        <f>IF(OR(C176="",D176=""),"",C176&amp;"|"&amp;D176&amp;"|"&amp;TEXT(I176,"0.00"))</f>
        <v/>
      </c>
      <c r="P176" s="24">
        <f>IF(OR(F176="",K176=0),0,MAX(0,TODAY()-F176))</f>
        <v/>
      </c>
      <c r="Q176" s="24">
        <f>IF(OR(L176="Paid",L176="Cancelled",F176=""),"",IF(F176&lt;TODAY(),"OVERDUE",IF(F176&lt;=TODAY()+'Setup &amp; Lists'!$M$7,"DUE SOON","")))</f>
        <v/>
      </c>
      <c r="R176" s="18" t="n"/>
    </row>
    <row r="177">
      <c r="A177" s="19" t="n"/>
      <c r="B177" s="18" t="n"/>
      <c r="C177" s="19" t="n"/>
      <c r="D177" s="19" t="n"/>
      <c r="E177" s="20" t="n"/>
      <c r="F177" s="20" t="n"/>
      <c r="G177" s="19" t="n"/>
      <c r="H177" s="19" t="n"/>
      <c r="I177" s="21" t="n"/>
      <c r="J177" s="21" t="n"/>
      <c r="K177" s="22">
        <f>IF(I177="","",MAX(0,I177-J177))</f>
        <v/>
      </c>
      <c r="L177" s="19" t="n"/>
      <c r="M177" s="18" t="n"/>
      <c r="N177" s="19" t="n"/>
      <c r="O177" s="24">
        <f>IF(OR(C177="",D177=""),"",C177&amp;"|"&amp;D177&amp;"|"&amp;TEXT(I177,"0.00"))</f>
        <v/>
      </c>
      <c r="P177" s="24">
        <f>IF(OR(F177="",K177=0),0,MAX(0,TODAY()-F177))</f>
        <v/>
      </c>
      <c r="Q177" s="24">
        <f>IF(OR(L177="Paid",L177="Cancelled",F177=""),"",IF(F177&lt;TODAY(),"OVERDUE",IF(F177&lt;=TODAY()+'Setup &amp; Lists'!$M$7,"DUE SOON","")))</f>
        <v/>
      </c>
      <c r="R177" s="18" t="n"/>
    </row>
    <row r="178">
      <c r="A178" s="19" t="n"/>
      <c r="B178" s="18" t="n"/>
      <c r="C178" s="19" t="n"/>
      <c r="D178" s="19" t="n"/>
      <c r="E178" s="20" t="n"/>
      <c r="F178" s="20" t="n"/>
      <c r="G178" s="19" t="n"/>
      <c r="H178" s="19" t="n"/>
      <c r="I178" s="21" t="n"/>
      <c r="J178" s="21" t="n"/>
      <c r="K178" s="22">
        <f>IF(I178="","",MAX(0,I178-J178))</f>
        <v/>
      </c>
      <c r="L178" s="19" t="n"/>
      <c r="M178" s="18" t="n"/>
      <c r="N178" s="19" t="n"/>
      <c r="O178" s="24">
        <f>IF(OR(C178="",D178=""),"",C178&amp;"|"&amp;D178&amp;"|"&amp;TEXT(I178,"0.00"))</f>
        <v/>
      </c>
      <c r="P178" s="24">
        <f>IF(OR(F178="",K178=0),0,MAX(0,TODAY()-F178))</f>
        <v/>
      </c>
      <c r="Q178" s="24">
        <f>IF(OR(L178="Paid",L178="Cancelled",F178=""),"",IF(F178&lt;TODAY(),"OVERDUE",IF(F178&lt;=TODAY()+'Setup &amp; Lists'!$M$7,"DUE SOON","")))</f>
        <v/>
      </c>
      <c r="R178" s="18" t="n"/>
    </row>
    <row r="179">
      <c r="A179" s="19" t="n"/>
      <c r="B179" s="18" t="n"/>
      <c r="C179" s="19" t="n"/>
      <c r="D179" s="19" t="n"/>
      <c r="E179" s="20" t="n"/>
      <c r="F179" s="20" t="n"/>
      <c r="G179" s="19" t="n"/>
      <c r="H179" s="19" t="n"/>
      <c r="I179" s="21" t="n"/>
      <c r="J179" s="21" t="n"/>
      <c r="K179" s="22">
        <f>IF(I179="","",MAX(0,I179-J179))</f>
        <v/>
      </c>
      <c r="L179" s="19" t="n"/>
      <c r="M179" s="18" t="n"/>
      <c r="N179" s="19" t="n"/>
      <c r="O179" s="24">
        <f>IF(OR(C179="",D179=""),"",C179&amp;"|"&amp;D179&amp;"|"&amp;TEXT(I179,"0.00"))</f>
        <v/>
      </c>
      <c r="P179" s="24">
        <f>IF(OR(F179="",K179=0),0,MAX(0,TODAY()-F179))</f>
        <v/>
      </c>
      <c r="Q179" s="24">
        <f>IF(OR(L179="Paid",L179="Cancelled",F179=""),"",IF(F179&lt;TODAY(),"OVERDUE",IF(F179&lt;=TODAY()+'Setup &amp; Lists'!$M$7,"DUE SOON","")))</f>
        <v/>
      </c>
      <c r="R179" s="18" t="n"/>
    </row>
    <row r="180">
      <c r="A180" s="19" t="n"/>
      <c r="B180" s="18" t="n"/>
      <c r="C180" s="19" t="n"/>
      <c r="D180" s="19" t="n"/>
      <c r="E180" s="20" t="n"/>
      <c r="F180" s="20" t="n"/>
      <c r="G180" s="19" t="n"/>
      <c r="H180" s="19" t="n"/>
      <c r="I180" s="21" t="n"/>
      <c r="J180" s="21" t="n"/>
      <c r="K180" s="22">
        <f>IF(I180="","",MAX(0,I180-J180))</f>
        <v/>
      </c>
      <c r="L180" s="19" t="n"/>
      <c r="M180" s="18" t="n"/>
      <c r="N180" s="19" t="n"/>
      <c r="O180" s="24">
        <f>IF(OR(C180="",D180=""),"",C180&amp;"|"&amp;D180&amp;"|"&amp;TEXT(I180,"0.00"))</f>
        <v/>
      </c>
      <c r="P180" s="24">
        <f>IF(OR(F180="",K180=0),0,MAX(0,TODAY()-F180))</f>
        <v/>
      </c>
      <c r="Q180" s="24">
        <f>IF(OR(L180="Paid",L180="Cancelled",F180=""),"",IF(F180&lt;TODAY(),"OVERDUE",IF(F180&lt;=TODAY()+'Setup &amp; Lists'!$M$7,"DUE SOON","")))</f>
        <v/>
      </c>
      <c r="R180" s="18" t="n"/>
    </row>
    <row r="181">
      <c r="A181" s="19" t="n"/>
      <c r="B181" s="18" t="n"/>
      <c r="C181" s="19" t="n"/>
      <c r="D181" s="19" t="n"/>
      <c r="E181" s="20" t="n"/>
      <c r="F181" s="20" t="n"/>
      <c r="G181" s="19" t="n"/>
      <c r="H181" s="19" t="n"/>
      <c r="I181" s="21" t="n"/>
      <c r="J181" s="21" t="n"/>
      <c r="K181" s="22">
        <f>IF(I181="","",MAX(0,I181-J181))</f>
        <v/>
      </c>
      <c r="L181" s="19" t="n"/>
      <c r="M181" s="18" t="n"/>
      <c r="N181" s="19" t="n"/>
      <c r="O181" s="24">
        <f>IF(OR(C181="",D181=""),"",C181&amp;"|"&amp;D181&amp;"|"&amp;TEXT(I181,"0.00"))</f>
        <v/>
      </c>
      <c r="P181" s="24">
        <f>IF(OR(F181="",K181=0),0,MAX(0,TODAY()-F181))</f>
        <v/>
      </c>
      <c r="Q181" s="24">
        <f>IF(OR(L181="Paid",L181="Cancelled",F181=""),"",IF(F181&lt;TODAY(),"OVERDUE",IF(F181&lt;=TODAY()+'Setup &amp; Lists'!$M$7,"DUE SOON","")))</f>
        <v/>
      </c>
      <c r="R181" s="18" t="n"/>
    </row>
    <row r="182">
      <c r="A182" s="19" t="n"/>
      <c r="B182" s="18" t="n"/>
      <c r="C182" s="19" t="n"/>
      <c r="D182" s="19" t="n"/>
      <c r="E182" s="20" t="n"/>
      <c r="F182" s="20" t="n"/>
      <c r="G182" s="19" t="n"/>
      <c r="H182" s="19" t="n"/>
      <c r="I182" s="21" t="n"/>
      <c r="J182" s="21" t="n"/>
      <c r="K182" s="22">
        <f>IF(I182="","",MAX(0,I182-J182))</f>
        <v/>
      </c>
      <c r="L182" s="19" t="n"/>
      <c r="M182" s="18" t="n"/>
      <c r="N182" s="19" t="n"/>
      <c r="O182" s="24">
        <f>IF(OR(C182="",D182=""),"",C182&amp;"|"&amp;D182&amp;"|"&amp;TEXT(I182,"0.00"))</f>
        <v/>
      </c>
      <c r="P182" s="24">
        <f>IF(OR(F182="",K182=0),0,MAX(0,TODAY()-F182))</f>
        <v/>
      </c>
      <c r="Q182" s="24">
        <f>IF(OR(L182="Paid",L182="Cancelled",F182=""),"",IF(F182&lt;TODAY(),"OVERDUE",IF(F182&lt;=TODAY()+'Setup &amp; Lists'!$M$7,"DUE SOON","")))</f>
        <v/>
      </c>
      <c r="R182" s="18" t="n"/>
    </row>
    <row r="183">
      <c r="A183" s="19" t="n"/>
      <c r="B183" s="18" t="n"/>
      <c r="C183" s="19" t="n"/>
      <c r="D183" s="19" t="n"/>
      <c r="E183" s="20" t="n"/>
      <c r="F183" s="20" t="n"/>
      <c r="G183" s="19" t="n"/>
      <c r="H183" s="19" t="n"/>
      <c r="I183" s="21" t="n"/>
      <c r="J183" s="21" t="n"/>
      <c r="K183" s="22">
        <f>IF(I183="","",MAX(0,I183-J183))</f>
        <v/>
      </c>
      <c r="L183" s="19" t="n"/>
      <c r="M183" s="18" t="n"/>
      <c r="N183" s="19" t="n"/>
      <c r="O183" s="24">
        <f>IF(OR(C183="",D183=""),"",C183&amp;"|"&amp;D183&amp;"|"&amp;TEXT(I183,"0.00"))</f>
        <v/>
      </c>
      <c r="P183" s="24">
        <f>IF(OR(F183="",K183=0),0,MAX(0,TODAY()-F183))</f>
        <v/>
      </c>
      <c r="Q183" s="24">
        <f>IF(OR(L183="Paid",L183="Cancelled",F183=""),"",IF(F183&lt;TODAY(),"OVERDUE",IF(F183&lt;=TODAY()+'Setup &amp; Lists'!$M$7,"DUE SOON","")))</f>
        <v/>
      </c>
      <c r="R183" s="18" t="n"/>
    </row>
    <row r="184">
      <c r="A184" s="19" t="n"/>
      <c r="B184" s="18" t="n"/>
      <c r="C184" s="19" t="n"/>
      <c r="D184" s="19" t="n"/>
      <c r="E184" s="20" t="n"/>
      <c r="F184" s="20" t="n"/>
      <c r="G184" s="19" t="n"/>
      <c r="H184" s="19" t="n"/>
      <c r="I184" s="21" t="n"/>
      <c r="J184" s="21" t="n"/>
      <c r="K184" s="22">
        <f>IF(I184="","",MAX(0,I184-J184))</f>
        <v/>
      </c>
      <c r="L184" s="19" t="n"/>
      <c r="M184" s="18" t="n"/>
      <c r="N184" s="19" t="n"/>
      <c r="O184" s="24">
        <f>IF(OR(C184="",D184=""),"",C184&amp;"|"&amp;D184&amp;"|"&amp;TEXT(I184,"0.00"))</f>
        <v/>
      </c>
      <c r="P184" s="24">
        <f>IF(OR(F184="",K184=0),0,MAX(0,TODAY()-F184))</f>
        <v/>
      </c>
      <c r="Q184" s="24">
        <f>IF(OR(L184="Paid",L184="Cancelled",F184=""),"",IF(F184&lt;TODAY(),"OVERDUE",IF(F184&lt;=TODAY()+'Setup &amp; Lists'!$M$7,"DUE SOON","")))</f>
        <v/>
      </c>
      <c r="R184" s="18" t="n"/>
    </row>
    <row r="185">
      <c r="A185" s="19" t="n"/>
      <c r="B185" s="18" t="n"/>
      <c r="C185" s="19" t="n"/>
      <c r="D185" s="19" t="n"/>
      <c r="E185" s="20" t="n"/>
      <c r="F185" s="20" t="n"/>
      <c r="G185" s="19" t="n"/>
      <c r="H185" s="19" t="n"/>
      <c r="I185" s="21" t="n"/>
      <c r="J185" s="21" t="n"/>
      <c r="K185" s="22">
        <f>IF(I185="","",MAX(0,I185-J185))</f>
        <v/>
      </c>
      <c r="L185" s="19" t="n"/>
      <c r="M185" s="18" t="n"/>
      <c r="N185" s="19" t="n"/>
      <c r="O185" s="24">
        <f>IF(OR(C185="",D185=""),"",C185&amp;"|"&amp;D185&amp;"|"&amp;TEXT(I185,"0.00"))</f>
        <v/>
      </c>
      <c r="P185" s="24">
        <f>IF(OR(F185="",K185=0),0,MAX(0,TODAY()-F185))</f>
        <v/>
      </c>
      <c r="Q185" s="24">
        <f>IF(OR(L185="Paid",L185="Cancelled",F185=""),"",IF(F185&lt;TODAY(),"OVERDUE",IF(F185&lt;=TODAY()+'Setup &amp; Lists'!$M$7,"DUE SOON","")))</f>
        <v/>
      </c>
      <c r="R185" s="18" t="n"/>
    </row>
    <row r="186">
      <c r="A186" s="19" t="n"/>
      <c r="B186" s="18" t="n"/>
      <c r="C186" s="19" t="n"/>
      <c r="D186" s="19" t="n"/>
      <c r="E186" s="20" t="n"/>
      <c r="F186" s="20" t="n"/>
      <c r="G186" s="19" t="n"/>
      <c r="H186" s="19" t="n"/>
      <c r="I186" s="21" t="n"/>
      <c r="J186" s="21" t="n"/>
      <c r="K186" s="22">
        <f>IF(I186="","",MAX(0,I186-J186))</f>
        <v/>
      </c>
      <c r="L186" s="19" t="n"/>
      <c r="M186" s="18" t="n"/>
      <c r="N186" s="19" t="n"/>
      <c r="O186" s="24">
        <f>IF(OR(C186="",D186=""),"",C186&amp;"|"&amp;D186&amp;"|"&amp;TEXT(I186,"0.00"))</f>
        <v/>
      </c>
      <c r="P186" s="24">
        <f>IF(OR(F186="",K186=0),0,MAX(0,TODAY()-F186))</f>
        <v/>
      </c>
      <c r="Q186" s="24">
        <f>IF(OR(L186="Paid",L186="Cancelled",F186=""),"",IF(F186&lt;TODAY(),"OVERDUE",IF(F186&lt;=TODAY()+'Setup &amp; Lists'!$M$7,"DUE SOON","")))</f>
        <v/>
      </c>
      <c r="R186" s="18" t="n"/>
    </row>
    <row r="187">
      <c r="A187" s="19" t="n"/>
      <c r="B187" s="18" t="n"/>
      <c r="C187" s="19" t="n"/>
      <c r="D187" s="19" t="n"/>
      <c r="E187" s="20" t="n"/>
      <c r="F187" s="20" t="n"/>
      <c r="G187" s="19" t="n"/>
      <c r="H187" s="19" t="n"/>
      <c r="I187" s="21" t="n"/>
      <c r="J187" s="21" t="n"/>
      <c r="K187" s="22">
        <f>IF(I187="","",MAX(0,I187-J187))</f>
        <v/>
      </c>
      <c r="L187" s="19" t="n"/>
      <c r="M187" s="18" t="n"/>
      <c r="N187" s="19" t="n"/>
      <c r="O187" s="24">
        <f>IF(OR(C187="",D187=""),"",C187&amp;"|"&amp;D187&amp;"|"&amp;TEXT(I187,"0.00"))</f>
        <v/>
      </c>
      <c r="P187" s="24">
        <f>IF(OR(F187="",K187=0),0,MAX(0,TODAY()-F187))</f>
        <v/>
      </c>
      <c r="Q187" s="24">
        <f>IF(OR(L187="Paid",L187="Cancelled",F187=""),"",IF(F187&lt;TODAY(),"OVERDUE",IF(F187&lt;=TODAY()+'Setup &amp; Lists'!$M$7,"DUE SOON","")))</f>
        <v/>
      </c>
      <c r="R187" s="18" t="n"/>
    </row>
    <row r="188">
      <c r="A188" s="19" t="n"/>
      <c r="B188" s="18" t="n"/>
      <c r="C188" s="19" t="n"/>
      <c r="D188" s="19" t="n"/>
      <c r="E188" s="20" t="n"/>
      <c r="F188" s="20" t="n"/>
      <c r="G188" s="19" t="n"/>
      <c r="H188" s="19" t="n"/>
      <c r="I188" s="21" t="n"/>
      <c r="J188" s="21" t="n"/>
      <c r="K188" s="22">
        <f>IF(I188="","",MAX(0,I188-J188))</f>
        <v/>
      </c>
      <c r="L188" s="19" t="n"/>
      <c r="M188" s="18" t="n"/>
      <c r="N188" s="19" t="n"/>
      <c r="O188" s="24">
        <f>IF(OR(C188="",D188=""),"",C188&amp;"|"&amp;D188&amp;"|"&amp;TEXT(I188,"0.00"))</f>
        <v/>
      </c>
      <c r="P188" s="24">
        <f>IF(OR(F188="",K188=0),0,MAX(0,TODAY()-F188))</f>
        <v/>
      </c>
      <c r="Q188" s="24">
        <f>IF(OR(L188="Paid",L188="Cancelled",F188=""),"",IF(F188&lt;TODAY(),"OVERDUE",IF(F188&lt;=TODAY()+'Setup &amp; Lists'!$M$7,"DUE SOON","")))</f>
        <v/>
      </c>
      <c r="R188" s="18" t="n"/>
    </row>
    <row r="189">
      <c r="A189" s="19" t="n"/>
      <c r="B189" s="18" t="n"/>
      <c r="C189" s="19" t="n"/>
      <c r="D189" s="19" t="n"/>
      <c r="E189" s="20" t="n"/>
      <c r="F189" s="20" t="n"/>
      <c r="G189" s="19" t="n"/>
      <c r="H189" s="19" t="n"/>
      <c r="I189" s="21" t="n"/>
      <c r="J189" s="21" t="n"/>
      <c r="K189" s="22">
        <f>IF(I189="","",MAX(0,I189-J189))</f>
        <v/>
      </c>
      <c r="L189" s="19" t="n"/>
      <c r="M189" s="18" t="n"/>
      <c r="N189" s="19" t="n"/>
      <c r="O189" s="24">
        <f>IF(OR(C189="",D189=""),"",C189&amp;"|"&amp;D189&amp;"|"&amp;TEXT(I189,"0.00"))</f>
        <v/>
      </c>
      <c r="P189" s="24">
        <f>IF(OR(F189="",K189=0),0,MAX(0,TODAY()-F189))</f>
        <v/>
      </c>
      <c r="Q189" s="24">
        <f>IF(OR(L189="Paid",L189="Cancelled",F189=""),"",IF(F189&lt;TODAY(),"OVERDUE",IF(F189&lt;=TODAY()+'Setup &amp; Lists'!$M$7,"DUE SOON","")))</f>
        <v/>
      </c>
      <c r="R189" s="18" t="n"/>
    </row>
    <row r="190">
      <c r="A190" s="19" t="n"/>
      <c r="B190" s="18" t="n"/>
      <c r="C190" s="19" t="n"/>
      <c r="D190" s="19" t="n"/>
      <c r="E190" s="20" t="n"/>
      <c r="F190" s="20" t="n"/>
      <c r="G190" s="19" t="n"/>
      <c r="H190" s="19" t="n"/>
      <c r="I190" s="21" t="n"/>
      <c r="J190" s="21" t="n"/>
      <c r="K190" s="22">
        <f>IF(I190="","",MAX(0,I190-J190))</f>
        <v/>
      </c>
      <c r="L190" s="19" t="n"/>
      <c r="M190" s="18" t="n"/>
      <c r="N190" s="19" t="n"/>
      <c r="O190" s="24">
        <f>IF(OR(C190="",D190=""),"",C190&amp;"|"&amp;D190&amp;"|"&amp;TEXT(I190,"0.00"))</f>
        <v/>
      </c>
      <c r="P190" s="24">
        <f>IF(OR(F190="",K190=0),0,MAX(0,TODAY()-F190))</f>
        <v/>
      </c>
      <c r="Q190" s="24">
        <f>IF(OR(L190="Paid",L190="Cancelled",F190=""),"",IF(F190&lt;TODAY(),"OVERDUE",IF(F190&lt;=TODAY()+'Setup &amp; Lists'!$M$7,"DUE SOON","")))</f>
        <v/>
      </c>
      <c r="R190" s="18" t="n"/>
    </row>
    <row r="191">
      <c r="A191" s="19" t="n"/>
      <c r="B191" s="18" t="n"/>
      <c r="C191" s="19" t="n"/>
      <c r="D191" s="19" t="n"/>
      <c r="E191" s="20" t="n"/>
      <c r="F191" s="20" t="n"/>
      <c r="G191" s="19" t="n"/>
      <c r="H191" s="19" t="n"/>
      <c r="I191" s="21" t="n"/>
      <c r="J191" s="21" t="n"/>
      <c r="K191" s="22">
        <f>IF(I191="","",MAX(0,I191-J191))</f>
        <v/>
      </c>
      <c r="L191" s="19" t="n"/>
      <c r="M191" s="18" t="n"/>
      <c r="N191" s="19" t="n"/>
      <c r="O191" s="24">
        <f>IF(OR(C191="",D191=""),"",C191&amp;"|"&amp;D191&amp;"|"&amp;TEXT(I191,"0.00"))</f>
        <v/>
      </c>
      <c r="P191" s="24">
        <f>IF(OR(F191="",K191=0),0,MAX(0,TODAY()-F191))</f>
        <v/>
      </c>
      <c r="Q191" s="24">
        <f>IF(OR(L191="Paid",L191="Cancelled",F191=""),"",IF(F191&lt;TODAY(),"OVERDUE",IF(F191&lt;=TODAY()+'Setup &amp; Lists'!$M$7,"DUE SOON","")))</f>
        <v/>
      </c>
      <c r="R191" s="18" t="n"/>
    </row>
    <row r="192">
      <c r="A192" s="19" t="n"/>
      <c r="B192" s="18" t="n"/>
      <c r="C192" s="19" t="n"/>
      <c r="D192" s="19" t="n"/>
      <c r="E192" s="20" t="n"/>
      <c r="F192" s="20" t="n"/>
      <c r="G192" s="19" t="n"/>
      <c r="H192" s="19" t="n"/>
      <c r="I192" s="21" t="n"/>
      <c r="J192" s="21" t="n"/>
      <c r="K192" s="22">
        <f>IF(I192="","",MAX(0,I192-J192))</f>
        <v/>
      </c>
      <c r="L192" s="19" t="n"/>
      <c r="M192" s="18" t="n"/>
      <c r="N192" s="19" t="n"/>
      <c r="O192" s="24">
        <f>IF(OR(C192="",D192=""),"",C192&amp;"|"&amp;D192&amp;"|"&amp;TEXT(I192,"0.00"))</f>
        <v/>
      </c>
      <c r="P192" s="24">
        <f>IF(OR(F192="",K192=0),0,MAX(0,TODAY()-F192))</f>
        <v/>
      </c>
      <c r="Q192" s="24">
        <f>IF(OR(L192="Paid",L192="Cancelled",F192=""),"",IF(F192&lt;TODAY(),"OVERDUE",IF(F192&lt;=TODAY()+'Setup &amp; Lists'!$M$7,"DUE SOON","")))</f>
        <v/>
      </c>
      <c r="R192" s="18" t="n"/>
    </row>
    <row r="193">
      <c r="A193" s="19" t="n"/>
      <c r="B193" s="18" t="n"/>
      <c r="C193" s="19" t="n"/>
      <c r="D193" s="19" t="n"/>
      <c r="E193" s="20" t="n"/>
      <c r="F193" s="20" t="n"/>
      <c r="G193" s="19" t="n"/>
      <c r="H193" s="19" t="n"/>
      <c r="I193" s="21" t="n"/>
      <c r="J193" s="21" t="n"/>
      <c r="K193" s="22">
        <f>IF(I193="","",MAX(0,I193-J193))</f>
        <v/>
      </c>
      <c r="L193" s="19" t="n"/>
      <c r="M193" s="18" t="n"/>
      <c r="N193" s="19" t="n"/>
      <c r="O193" s="24">
        <f>IF(OR(C193="",D193=""),"",C193&amp;"|"&amp;D193&amp;"|"&amp;TEXT(I193,"0.00"))</f>
        <v/>
      </c>
      <c r="P193" s="24">
        <f>IF(OR(F193="",K193=0),0,MAX(0,TODAY()-F193))</f>
        <v/>
      </c>
      <c r="Q193" s="24">
        <f>IF(OR(L193="Paid",L193="Cancelled",F193=""),"",IF(F193&lt;TODAY(),"OVERDUE",IF(F193&lt;=TODAY()+'Setup &amp; Lists'!$M$7,"DUE SOON","")))</f>
        <v/>
      </c>
      <c r="R193" s="18" t="n"/>
    </row>
    <row r="194">
      <c r="A194" s="19" t="n"/>
      <c r="B194" s="18" t="n"/>
      <c r="C194" s="19" t="n"/>
      <c r="D194" s="19" t="n"/>
      <c r="E194" s="20" t="n"/>
      <c r="F194" s="20" t="n"/>
      <c r="G194" s="19" t="n"/>
      <c r="H194" s="19" t="n"/>
      <c r="I194" s="21" t="n"/>
      <c r="J194" s="21" t="n"/>
      <c r="K194" s="22">
        <f>IF(I194="","",MAX(0,I194-J194))</f>
        <v/>
      </c>
      <c r="L194" s="19" t="n"/>
      <c r="M194" s="18" t="n"/>
      <c r="N194" s="19" t="n"/>
      <c r="O194" s="24">
        <f>IF(OR(C194="",D194=""),"",C194&amp;"|"&amp;D194&amp;"|"&amp;TEXT(I194,"0.00"))</f>
        <v/>
      </c>
      <c r="P194" s="24">
        <f>IF(OR(F194="",K194=0),0,MAX(0,TODAY()-F194))</f>
        <v/>
      </c>
      <c r="Q194" s="24">
        <f>IF(OR(L194="Paid",L194="Cancelled",F194=""),"",IF(F194&lt;TODAY(),"OVERDUE",IF(F194&lt;=TODAY()+'Setup &amp; Lists'!$M$7,"DUE SOON","")))</f>
        <v/>
      </c>
      <c r="R194" s="18" t="n"/>
    </row>
    <row r="195">
      <c r="A195" s="19" t="n"/>
      <c r="B195" s="18" t="n"/>
      <c r="C195" s="19" t="n"/>
      <c r="D195" s="19" t="n"/>
      <c r="E195" s="20" t="n"/>
      <c r="F195" s="20" t="n"/>
      <c r="G195" s="19" t="n"/>
      <c r="H195" s="19" t="n"/>
      <c r="I195" s="21" t="n"/>
      <c r="J195" s="21" t="n"/>
      <c r="K195" s="22">
        <f>IF(I195="","",MAX(0,I195-J195))</f>
        <v/>
      </c>
      <c r="L195" s="19" t="n"/>
      <c r="M195" s="18" t="n"/>
      <c r="N195" s="19" t="n"/>
      <c r="O195" s="24">
        <f>IF(OR(C195="",D195=""),"",C195&amp;"|"&amp;D195&amp;"|"&amp;TEXT(I195,"0.00"))</f>
        <v/>
      </c>
      <c r="P195" s="24">
        <f>IF(OR(F195="",K195=0),0,MAX(0,TODAY()-F195))</f>
        <v/>
      </c>
      <c r="Q195" s="24">
        <f>IF(OR(L195="Paid",L195="Cancelled",F195=""),"",IF(F195&lt;TODAY(),"OVERDUE",IF(F195&lt;=TODAY()+'Setup &amp; Lists'!$M$7,"DUE SOON","")))</f>
        <v/>
      </c>
      <c r="R195" s="18" t="n"/>
    </row>
    <row r="196">
      <c r="A196" s="19" t="n"/>
      <c r="B196" s="18" t="n"/>
      <c r="C196" s="19" t="n"/>
      <c r="D196" s="19" t="n"/>
      <c r="E196" s="20" t="n"/>
      <c r="F196" s="20" t="n"/>
      <c r="G196" s="19" t="n"/>
      <c r="H196" s="19" t="n"/>
      <c r="I196" s="21" t="n"/>
      <c r="J196" s="21" t="n"/>
      <c r="K196" s="22">
        <f>IF(I196="","",MAX(0,I196-J196))</f>
        <v/>
      </c>
      <c r="L196" s="19" t="n"/>
      <c r="M196" s="18" t="n"/>
      <c r="N196" s="19" t="n"/>
      <c r="O196" s="24">
        <f>IF(OR(C196="",D196=""),"",C196&amp;"|"&amp;D196&amp;"|"&amp;TEXT(I196,"0.00"))</f>
        <v/>
      </c>
      <c r="P196" s="24">
        <f>IF(OR(F196="",K196=0),0,MAX(0,TODAY()-F196))</f>
        <v/>
      </c>
      <c r="Q196" s="24">
        <f>IF(OR(L196="Paid",L196="Cancelled",F196=""),"",IF(F196&lt;TODAY(),"OVERDUE",IF(F196&lt;=TODAY()+'Setup &amp; Lists'!$M$7,"DUE SOON","")))</f>
        <v/>
      </c>
      <c r="R196" s="18" t="n"/>
    </row>
    <row r="197">
      <c r="A197" s="19" t="n"/>
      <c r="B197" s="18" t="n"/>
      <c r="C197" s="19" t="n"/>
      <c r="D197" s="19" t="n"/>
      <c r="E197" s="20" t="n"/>
      <c r="F197" s="20" t="n"/>
      <c r="G197" s="19" t="n"/>
      <c r="H197" s="19" t="n"/>
      <c r="I197" s="21" t="n"/>
      <c r="J197" s="21" t="n"/>
      <c r="K197" s="22">
        <f>IF(I197="","",MAX(0,I197-J197))</f>
        <v/>
      </c>
      <c r="L197" s="19" t="n"/>
      <c r="M197" s="18" t="n"/>
      <c r="N197" s="19" t="n"/>
      <c r="O197" s="24">
        <f>IF(OR(C197="",D197=""),"",C197&amp;"|"&amp;D197&amp;"|"&amp;TEXT(I197,"0.00"))</f>
        <v/>
      </c>
      <c r="P197" s="24">
        <f>IF(OR(F197="",K197=0),0,MAX(0,TODAY()-F197))</f>
        <v/>
      </c>
      <c r="Q197" s="24">
        <f>IF(OR(L197="Paid",L197="Cancelled",F197=""),"",IF(F197&lt;TODAY(),"OVERDUE",IF(F197&lt;=TODAY()+'Setup &amp; Lists'!$M$7,"DUE SOON","")))</f>
        <v/>
      </c>
      <c r="R197" s="18" t="n"/>
    </row>
    <row r="198">
      <c r="A198" s="19" t="n"/>
      <c r="B198" s="18" t="n"/>
      <c r="C198" s="19" t="n"/>
      <c r="D198" s="19" t="n"/>
      <c r="E198" s="20" t="n"/>
      <c r="F198" s="20" t="n"/>
      <c r="G198" s="19" t="n"/>
      <c r="H198" s="19" t="n"/>
      <c r="I198" s="21" t="n"/>
      <c r="J198" s="21" t="n"/>
      <c r="K198" s="22">
        <f>IF(I198="","",MAX(0,I198-J198))</f>
        <v/>
      </c>
      <c r="L198" s="19" t="n"/>
      <c r="M198" s="18" t="n"/>
      <c r="N198" s="19" t="n"/>
      <c r="O198" s="24">
        <f>IF(OR(C198="",D198=""),"",C198&amp;"|"&amp;D198&amp;"|"&amp;TEXT(I198,"0.00"))</f>
        <v/>
      </c>
      <c r="P198" s="24">
        <f>IF(OR(F198="",K198=0),0,MAX(0,TODAY()-F198))</f>
        <v/>
      </c>
      <c r="Q198" s="24">
        <f>IF(OR(L198="Paid",L198="Cancelled",F198=""),"",IF(F198&lt;TODAY(),"OVERDUE",IF(F198&lt;=TODAY()+'Setup &amp; Lists'!$M$7,"DUE SOON","")))</f>
        <v/>
      </c>
      <c r="R198" s="18" t="n"/>
    </row>
    <row r="199">
      <c r="A199" s="19" t="n"/>
      <c r="B199" s="18" t="n"/>
      <c r="C199" s="19" t="n"/>
      <c r="D199" s="19" t="n"/>
      <c r="E199" s="20" t="n"/>
      <c r="F199" s="20" t="n"/>
      <c r="G199" s="19" t="n"/>
      <c r="H199" s="19" t="n"/>
      <c r="I199" s="21" t="n"/>
      <c r="J199" s="21" t="n"/>
      <c r="K199" s="22">
        <f>IF(I199="","",MAX(0,I199-J199))</f>
        <v/>
      </c>
      <c r="L199" s="19" t="n"/>
      <c r="M199" s="18" t="n"/>
      <c r="N199" s="19" t="n"/>
      <c r="O199" s="24">
        <f>IF(OR(C199="",D199=""),"",C199&amp;"|"&amp;D199&amp;"|"&amp;TEXT(I199,"0.00"))</f>
        <v/>
      </c>
      <c r="P199" s="24">
        <f>IF(OR(F199="",K199=0),0,MAX(0,TODAY()-F199))</f>
        <v/>
      </c>
      <c r="Q199" s="24">
        <f>IF(OR(L199="Paid",L199="Cancelled",F199=""),"",IF(F199&lt;TODAY(),"OVERDUE",IF(F199&lt;=TODAY()+'Setup &amp; Lists'!$M$7,"DUE SOON","")))</f>
        <v/>
      </c>
      <c r="R199" s="18" t="n"/>
    </row>
    <row r="200">
      <c r="A200" s="19" t="n"/>
      <c r="B200" s="18" t="n"/>
      <c r="C200" s="19" t="n"/>
      <c r="D200" s="19" t="n"/>
      <c r="E200" s="20" t="n"/>
      <c r="F200" s="20" t="n"/>
      <c r="G200" s="19" t="n"/>
      <c r="H200" s="19" t="n"/>
      <c r="I200" s="21" t="n"/>
      <c r="J200" s="21" t="n"/>
      <c r="K200" s="22">
        <f>IF(I200="","",MAX(0,I200-J200))</f>
        <v/>
      </c>
      <c r="L200" s="19" t="n"/>
      <c r="M200" s="18" t="n"/>
      <c r="N200" s="19" t="n"/>
      <c r="O200" s="24">
        <f>IF(OR(C200="",D200=""),"",C200&amp;"|"&amp;D200&amp;"|"&amp;TEXT(I200,"0.00"))</f>
        <v/>
      </c>
      <c r="P200" s="24">
        <f>IF(OR(F200="",K200=0),0,MAX(0,TODAY()-F200))</f>
        <v/>
      </c>
      <c r="Q200" s="24">
        <f>IF(OR(L200="Paid",L200="Cancelled",F200=""),"",IF(F200&lt;TODAY(),"OVERDUE",IF(F200&lt;=TODAY()+'Setup &amp; Lists'!$M$7,"DUE SOON","")))</f>
        <v/>
      </c>
      <c r="R200" s="18" t="n"/>
    </row>
    <row r="201">
      <c r="A201" s="19" t="n"/>
      <c r="B201" s="18" t="n"/>
      <c r="C201" s="19" t="n"/>
      <c r="D201" s="19" t="n"/>
      <c r="E201" s="20" t="n"/>
      <c r="F201" s="20" t="n"/>
      <c r="G201" s="19" t="n"/>
      <c r="H201" s="19" t="n"/>
      <c r="I201" s="21" t="n"/>
      <c r="J201" s="21" t="n"/>
      <c r="K201" s="22">
        <f>IF(I201="","",MAX(0,I201-J201))</f>
        <v/>
      </c>
      <c r="L201" s="19" t="n"/>
      <c r="M201" s="18" t="n"/>
      <c r="N201" s="19" t="n"/>
      <c r="O201" s="24">
        <f>IF(OR(C201="",D201=""),"",C201&amp;"|"&amp;D201&amp;"|"&amp;TEXT(I201,"0.00"))</f>
        <v/>
      </c>
      <c r="P201" s="24">
        <f>IF(OR(F201="",K201=0),0,MAX(0,TODAY()-F201))</f>
        <v/>
      </c>
      <c r="Q201" s="24">
        <f>IF(OR(L201="Paid",L201="Cancelled",F201=""),"",IF(F201&lt;TODAY(),"OVERDUE",IF(F201&lt;=TODAY()+'Setup &amp; Lists'!$M$7,"DUE SOON","")))</f>
        <v/>
      </c>
      <c r="R201" s="18" t="n"/>
    </row>
    <row r="202">
      <c r="A202" s="19" t="n"/>
      <c r="B202" s="18" t="n"/>
      <c r="C202" s="19" t="n"/>
      <c r="D202" s="19" t="n"/>
      <c r="E202" s="20" t="n"/>
      <c r="F202" s="20" t="n"/>
      <c r="G202" s="19" t="n"/>
      <c r="H202" s="19" t="n"/>
      <c r="I202" s="21" t="n"/>
      <c r="J202" s="21" t="n"/>
      <c r="K202" s="22">
        <f>IF(I202="","",MAX(0,I202-J202))</f>
        <v/>
      </c>
      <c r="L202" s="19" t="n"/>
      <c r="M202" s="18" t="n"/>
      <c r="N202" s="19" t="n"/>
      <c r="O202" s="24">
        <f>IF(OR(C202="",D202=""),"",C202&amp;"|"&amp;D202&amp;"|"&amp;TEXT(I202,"0.00"))</f>
        <v/>
      </c>
      <c r="P202" s="24">
        <f>IF(OR(F202="",K202=0),0,MAX(0,TODAY()-F202))</f>
        <v/>
      </c>
      <c r="Q202" s="24">
        <f>IF(OR(L202="Paid",L202="Cancelled",F202=""),"",IF(F202&lt;TODAY(),"OVERDUE",IF(F202&lt;=TODAY()+'Setup &amp; Lists'!$M$7,"DUE SOON","")))</f>
        <v/>
      </c>
      <c r="R202" s="18" t="n"/>
    </row>
    <row r="203">
      <c r="A203" s="19" t="n"/>
      <c r="B203" s="18" t="n"/>
      <c r="C203" s="19" t="n"/>
      <c r="D203" s="19" t="n"/>
      <c r="E203" s="20" t="n"/>
      <c r="F203" s="20" t="n"/>
      <c r="G203" s="19" t="n"/>
      <c r="H203" s="19" t="n"/>
      <c r="I203" s="21" t="n"/>
      <c r="J203" s="21" t="n"/>
      <c r="K203" s="22">
        <f>IF(I203="","",MAX(0,I203-J203))</f>
        <v/>
      </c>
      <c r="L203" s="19" t="n"/>
      <c r="M203" s="18" t="n"/>
      <c r="N203" s="19" t="n"/>
      <c r="O203" s="24">
        <f>IF(OR(C203="",D203=""),"",C203&amp;"|"&amp;D203&amp;"|"&amp;TEXT(I203,"0.00"))</f>
        <v/>
      </c>
      <c r="P203" s="24">
        <f>IF(OR(F203="",K203=0),0,MAX(0,TODAY()-F203))</f>
        <v/>
      </c>
      <c r="Q203" s="24">
        <f>IF(OR(L203="Paid",L203="Cancelled",F203=""),"",IF(F203&lt;TODAY(),"OVERDUE",IF(F203&lt;=TODAY()+'Setup &amp; Lists'!$M$7,"DUE SOON","")))</f>
        <v/>
      </c>
      <c r="R203" s="18" t="n"/>
    </row>
    <row r="204">
      <c r="A204" s="19" t="n"/>
      <c r="B204" s="18" t="n"/>
      <c r="C204" s="19" t="n"/>
      <c r="D204" s="19" t="n"/>
      <c r="E204" s="20" t="n"/>
      <c r="F204" s="20" t="n"/>
      <c r="G204" s="19" t="n"/>
      <c r="H204" s="19" t="n"/>
      <c r="I204" s="21" t="n"/>
      <c r="J204" s="21" t="n"/>
      <c r="K204" s="22">
        <f>IF(I204="","",MAX(0,I204-J204))</f>
        <v/>
      </c>
      <c r="L204" s="19" t="n"/>
      <c r="M204" s="18" t="n"/>
      <c r="N204" s="19" t="n"/>
      <c r="O204" s="24">
        <f>IF(OR(C204="",D204=""),"",C204&amp;"|"&amp;D204&amp;"|"&amp;TEXT(I204,"0.00"))</f>
        <v/>
      </c>
      <c r="P204" s="24">
        <f>IF(OR(F204="",K204=0),0,MAX(0,TODAY()-F204))</f>
        <v/>
      </c>
      <c r="Q204" s="24">
        <f>IF(OR(L204="Paid",L204="Cancelled",F204=""),"",IF(F204&lt;TODAY(),"OVERDUE",IF(F204&lt;=TODAY()+'Setup &amp; Lists'!$M$7,"DUE SOON","")))</f>
        <v/>
      </c>
      <c r="R204" s="18" t="n"/>
    </row>
    <row r="205">
      <c r="A205" s="19" t="n"/>
      <c r="B205" s="18" t="n"/>
      <c r="C205" s="19" t="n"/>
      <c r="D205" s="19" t="n"/>
      <c r="E205" s="20" t="n"/>
      <c r="F205" s="20" t="n"/>
      <c r="G205" s="19" t="n"/>
      <c r="H205" s="19" t="n"/>
      <c r="I205" s="21" t="n"/>
      <c r="J205" s="21" t="n"/>
      <c r="K205" s="22">
        <f>IF(I205="","",MAX(0,I205-J205))</f>
        <v/>
      </c>
      <c r="L205" s="19" t="n"/>
      <c r="M205" s="18" t="n"/>
      <c r="N205" s="19" t="n"/>
      <c r="O205" s="24">
        <f>IF(OR(C205="",D205=""),"",C205&amp;"|"&amp;D205&amp;"|"&amp;TEXT(I205,"0.00"))</f>
        <v/>
      </c>
      <c r="P205" s="24">
        <f>IF(OR(F205="",K205=0),0,MAX(0,TODAY()-F205))</f>
        <v/>
      </c>
      <c r="Q205" s="24">
        <f>IF(OR(L205="Paid",L205="Cancelled",F205=""),"",IF(F205&lt;TODAY(),"OVERDUE",IF(F205&lt;=TODAY()+'Setup &amp; Lists'!$M$7,"DUE SOON","")))</f>
        <v/>
      </c>
      <c r="R205" s="18" t="n"/>
    </row>
    <row r="206">
      <c r="A206" s="19" t="n"/>
      <c r="B206" s="18" t="n"/>
      <c r="C206" s="19" t="n"/>
      <c r="D206" s="19" t="n"/>
      <c r="E206" s="20" t="n"/>
      <c r="F206" s="20" t="n"/>
      <c r="G206" s="19" t="n"/>
      <c r="H206" s="19" t="n"/>
      <c r="I206" s="21" t="n"/>
      <c r="J206" s="21" t="n"/>
      <c r="K206" s="22">
        <f>IF(I206="","",MAX(0,I206-J206))</f>
        <v/>
      </c>
      <c r="L206" s="19" t="n"/>
      <c r="M206" s="18" t="n"/>
      <c r="N206" s="19" t="n"/>
      <c r="O206" s="24">
        <f>IF(OR(C206="",D206=""),"",C206&amp;"|"&amp;D206&amp;"|"&amp;TEXT(I206,"0.00"))</f>
        <v/>
      </c>
      <c r="P206" s="24">
        <f>IF(OR(F206="",K206=0),0,MAX(0,TODAY()-F206))</f>
        <v/>
      </c>
      <c r="Q206" s="24">
        <f>IF(OR(L206="Paid",L206="Cancelled",F206=""),"",IF(F206&lt;TODAY(),"OVERDUE",IF(F206&lt;=TODAY()+'Setup &amp; Lists'!$M$7,"DUE SOON","")))</f>
        <v/>
      </c>
      <c r="R206" s="18" t="n"/>
    </row>
    <row r="207">
      <c r="A207" s="19" t="n"/>
      <c r="B207" s="18" t="n"/>
      <c r="C207" s="19" t="n"/>
      <c r="D207" s="19" t="n"/>
      <c r="E207" s="20" t="n"/>
      <c r="F207" s="20" t="n"/>
      <c r="G207" s="19" t="n"/>
      <c r="H207" s="19" t="n"/>
      <c r="I207" s="21" t="n"/>
      <c r="J207" s="21" t="n"/>
      <c r="K207" s="22">
        <f>IF(I207="","",MAX(0,I207-J207))</f>
        <v/>
      </c>
      <c r="L207" s="19" t="n"/>
      <c r="M207" s="18" t="n"/>
      <c r="N207" s="19" t="n"/>
      <c r="O207" s="24">
        <f>IF(OR(C207="",D207=""),"",C207&amp;"|"&amp;D207&amp;"|"&amp;TEXT(I207,"0.00"))</f>
        <v/>
      </c>
      <c r="P207" s="24">
        <f>IF(OR(F207="",K207=0),0,MAX(0,TODAY()-F207))</f>
        <v/>
      </c>
      <c r="Q207" s="24">
        <f>IF(OR(L207="Paid",L207="Cancelled",F207=""),"",IF(F207&lt;TODAY(),"OVERDUE",IF(F207&lt;=TODAY()+'Setup &amp; Lists'!$M$7,"DUE SOON","")))</f>
        <v/>
      </c>
      <c r="R207" s="18" t="n"/>
    </row>
    <row r="208">
      <c r="A208" s="19" t="n"/>
      <c r="B208" s="18" t="n"/>
      <c r="C208" s="19" t="n"/>
      <c r="D208" s="19" t="n"/>
      <c r="E208" s="20" t="n"/>
      <c r="F208" s="20" t="n"/>
      <c r="G208" s="19" t="n"/>
      <c r="H208" s="19" t="n"/>
      <c r="I208" s="21" t="n"/>
      <c r="J208" s="21" t="n"/>
      <c r="K208" s="22">
        <f>IF(I208="","",MAX(0,I208-J208))</f>
        <v/>
      </c>
      <c r="L208" s="19" t="n"/>
      <c r="M208" s="18" t="n"/>
      <c r="N208" s="19" t="n"/>
      <c r="O208" s="24">
        <f>IF(OR(C208="",D208=""),"",C208&amp;"|"&amp;D208&amp;"|"&amp;TEXT(I208,"0.00"))</f>
        <v/>
      </c>
      <c r="P208" s="24">
        <f>IF(OR(F208="",K208=0),0,MAX(0,TODAY()-F208))</f>
        <v/>
      </c>
      <c r="Q208" s="24">
        <f>IF(OR(L208="Paid",L208="Cancelled",F208=""),"",IF(F208&lt;TODAY(),"OVERDUE",IF(F208&lt;=TODAY()+'Setup &amp; Lists'!$M$7,"DUE SOON","")))</f>
        <v/>
      </c>
      <c r="R208" s="18" t="n"/>
    </row>
    <row r="209">
      <c r="A209" s="19" t="n"/>
      <c r="B209" s="18" t="n"/>
      <c r="C209" s="19" t="n"/>
      <c r="D209" s="19" t="n"/>
      <c r="E209" s="20" t="n"/>
      <c r="F209" s="20" t="n"/>
      <c r="G209" s="19" t="n"/>
      <c r="H209" s="19" t="n"/>
      <c r="I209" s="21" t="n"/>
      <c r="J209" s="21" t="n"/>
      <c r="K209" s="22">
        <f>IF(I209="","",MAX(0,I209-J209))</f>
        <v/>
      </c>
      <c r="L209" s="19" t="n"/>
      <c r="M209" s="18" t="n"/>
      <c r="N209" s="19" t="n"/>
      <c r="O209" s="24">
        <f>IF(OR(C209="",D209=""),"",C209&amp;"|"&amp;D209&amp;"|"&amp;TEXT(I209,"0.00"))</f>
        <v/>
      </c>
      <c r="P209" s="24">
        <f>IF(OR(F209="",K209=0),0,MAX(0,TODAY()-F209))</f>
        <v/>
      </c>
      <c r="Q209" s="24">
        <f>IF(OR(L209="Paid",L209="Cancelled",F209=""),"",IF(F209&lt;TODAY(),"OVERDUE",IF(F209&lt;=TODAY()+'Setup &amp; Lists'!$M$7,"DUE SOON","")))</f>
        <v/>
      </c>
      <c r="R209" s="18" t="n"/>
    </row>
    <row r="210">
      <c r="A210" s="19" t="n"/>
      <c r="B210" s="18" t="n"/>
      <c r="C210" s="19" t="n"/>
      <c r="D210" s="19" t="n"/>
      <c r="E210" s="20" t="n"/>
      <c r="F210" s="20" t="n"/>
      <c r="G210" s="19" t="n"/>
      <c r="H210" s="19" t="n"/>
      <c r="I210" s="21" t="n"/>
      <c r="J210" s="21" t="n"/>
      <c r="K210" s="22">
        <f>IF(I210="","",MAX(0,I210-J210))</f>
        <v/>
      </c>
      <c r="L210" s="19" t="n"/>
      <c r="M210" s="18" t="n"/>
      <c r="N210" s="19" t="n"/>
      <c r="O210" s="24">
        <f>IF(OR(C210="",D210=""),"",C210&amp;"|"&amp;D210&amp;"|"&amp;TEXT(I210,"0.00"))</f>
        <v/>
      </c>
      <c r="P210" s="24">
        <f>IF(OR(F210="",K210=0),0,MAX(0,TODAY()-F210))</f>
        <v/>
      </c>
      <c r="Q210" s="24">
        <f>IF(OR(L210="Paid",L210="Cancelled",F210=""),"",IF(F210&lt;TODAY(),"OVERDUE",IF(F210&lt;=TODAY()+'Setup &amp; Lists'!$M$7,"DUE SOON","")))</f>
        <v/>
      </c>
      <c r="R210" s="18" t="n"/>
    </row>
    <row r="211">
      <c r="A211" s="19" t="n"/>
      <c r="B211" s="18" t="n"/>
      <c r="C211" s="19" t="n"/>
      <c r="D211" s="19" t="n"/>
      <c r="E211" s="20" t="n"/>
      <c r="F211" s="20" t="n"/>
      <c r="G211" s="19" t="n"/>
      <c r="H211" s="19" t="n"/>
      <c r="I211" s="21" t="n"/>
      <c r="J211" s="21" t="n"/>
      <c r="K211" s="22">
        <f>IF(I211="","",MAX(0,I211-J211))</f>
        <v/>
      </c>
      <c r="L211" s="19" t="n"/>
      <c r="M211" s="18" t="n"/>
      <c r="N211" s="19" t="n"/>
      <c r="O211" s="24">
        <f>IF(OR(C211="",D211=""),"",C211&amp;"|"&amp;D211&amp;"|"&amp;TEXT(I211,"0.00"))</f>
        <v/>
      </c>
      <c r="P211" s="24">
        <f>IF(OR(F211="",K211=0),0,MAX(0,TODAY()-F211))</f>
        <v/>
      </c>
      <c r="Q211" s="24">
        <f>IF(OR(L211="Paid",L211="Cancelled",F211=""),"",IF(F211&lt;TODAY(),"OVERDUE",IF(F211&lt;=TODAY()+'Setup &amp; Lists'!$M$7,"DUE SOON","")))</f>
        <v/>
      </c>
      <c r="R211" s="18" t="n"/>
    </row>
    <row r="212">
      <c r="A212" s="19" t="n"/>
      <c r="B212" s="18" t="n"/>
      <c r="C212" s="19" t="n"/>
      <c r="D212" s="19" t="n"/>
      <c r="E212" s="20" t="n"/>
      <c r="F212" s="20" t="n"/>
      <c r="G212" s="19" t="n"/>
      <c r="H212" s="19" t="n"/>
      <c r="I212" s="21" t="n"/>
      <c r="J212" s="21" t="n"/>
      <c r="K212" s="22">
        <f>IF(I212="","",MAX(0,I212-J212))</f>
        <v/>
      </c>
      <c r="L212" s="19" t="n"/>
      <c r="M212" s="18" t="n"/>
      <c r="N212" s="19" t="n"/>
      <c r="O212" s="24">
        <f>IF(OR(C212="",D212=""),"",C212&amp;"|"&amp;D212&amp;"|"&amp;TEXT(I212,"0.00"))</f>
        <v/>
      </c>
      <c r="P212" s="24">
        <f>IF(OR(F212="",K212=0),0,MAX(0,TODAY()-F212))</f>
        <v/>
      </c>
      <c r="Q212" s="24">
        <f>IF(OR(L212="Paid",L212="Cancelled",F212=""),"",IF(F212&lt;TODAY(),"OVERDUE",IF(F212&lt;=TODAY()+'Setup &amp; Lists'!$M$7,"DUE SOON","")))</f>
        <v/>
      </c>
      <c r="R212" s="18" t="n"/>
    </row>
    <row r="213">
      <c r="A213" s="19" t="n"/>
      <c r="B213" s="18" t="n"/>
      <c r="C213" s="19" t="n"/>
      <c r="D213" s="19" t="n"/>
      <c r="E213" s="20" t="n"/>
      <c r="F213" s="20" t="n"/>
      <c r="G213" s="19" t="n"/>
      <c r="H213" s="19" t="n"/>
      <c r="I213" s="21" t="n"/>
      <c r="J213" s="21" t="n"/>
      <c r="K213" s="22">
        <f>IF(I213="","",MAX(0,I213-J213))</f>
        <v/>
      </c>
      <c r="L213" s="19" t="n"/>
      <c r="M213" s="18" t="n"/>
      <c r="N213" s="19" t="n"/>
      <c r="O213" s="24">
        <f>IF(OR(C213="",D213=""),"",C213&amp;"|"&amp;D213&amp;"|"&amp;TEXT(I213,"0.00"))</f>
        <v/>
      </c>
      <c r="P213" s="24">
        <f>IF(OR(F213="",K213=0),0,MAX(0,TODAY()-F213))</f>
        <v/>
      </c>
      <c r="Q213" s="24">
        <f>IF(OR(L213="Paid",L213="Cancelled",F213=""),"",IF(F213&lt;TODAY(),"OVERDUE",IF(F213&lt;=TODAY()+'Setup &amp; Lists'!$M$7,"DUE SOON","")))</f>
        <v/>
      </c>
      <c r="R213" s="18" t="n"/>
    </row>
    <row r="214">
      <c r="A214" s="19" t="n"/>
      <c r="B214" s="18" t="n"/>
      <c r="C214" s="19" t="n"/>
      <c r="D214" s="19" t="n"/>
      <c r="E214" s="20" t="n"/>
      <c r="F214" s="20" t="n"/>
      <c r="G214" s="19" t="n"/>
      <c r="H214" s="19" t="n"/>
      <c r="I214" s="21" t="n"/>
      <c r="J214" s="21" t="n"/>
      <c r="K214" s="22">
        <f>IF(I214="","",MAX(0,I214-J214))</f>
        <v/>
      </c>
      <c r="L214" s="19" t="n"/>
      <c r="M214" s="18" t="n"/>
      <c r="N214" s="19" t="n"/>
      <c r="O214" s="24">
        <f>IF(OR(C214="",D214=""),"",C214&amp;"|"&amp;D214&amp;"|"&amp;TEXT(I214,"0.00"))</f>
        <v/>
      </c>
      <c r="P214" s="24">
        <f>IF(OR(F214="",K214=0),0,MAX(0,TODAY()-F214))</f>
        <v/>
      </c>
      <c r="Q214" s="24">
        <f>IF(OR(L214="Paid",L214="Cancelled",F214=""),"",IF(F214&lt;TODAY(),"OVERDUE",IF(F214&lt;=TODAY()+'Setup &amp; Lists'!$M$7,"DUE SOON","")))</f>
        <v/>
      </c>
      <c r="R214" s="18" t="n"/>
    </row>
    <row r="215">
      <c r="A215" s="19" t="n"/>
      <c r="B215" s="18" t="n"/>
      <c r="C215" s="19" t="n"/>
      <c r="D215" s="19" t="n"/>
      <c r="E215" s="20" t="n"/>
      <c r="F215" s="20" t="n"/>
      <c r="G215" s="19" t="n"/>
      <c r="H215" s="19" t="n"/>
      <c r="I215" s="21" t="n"/>
      <c r="J215" s="21" t="n"/>
      <c r="K215" s="22">
        <f>IF(I215="","",MAX(0,I215-J215))</f>
        <v/>
      </c>
      <c r="L215" s="19" t="n"/>
      <c r="M215" s="18" t="n"/>
      <c r="N215" s="19" t="n"/>
      <c r="O215" s="24">
        <f>IF(OR(C215="",D215=""),"",C215&amp;"|"&amp;D215&amp;"|"&amp;TEXT(I215,"0.00"))</f>
        <v/>
      </c>
      <c r="P215" s="24">
        <f>IF(OR(F215="",K215=0),0,MAX(0,TODAY()-F215))</f>
        <v/>
      </c>
      <c r="Q215" s="24">
        <f>IF(OR(L215="Paid",L215="Cancelled",F215=""),"",IF(F215&lt;TODAY(),"OVERDUE",IF(F215&lt;=TODAY()+'Setup &amp; Lists'!$M$7,"DUE SOON","")))</f>
        <v/>
      </c>
      <c r="R215" s="18" t="n"/>
    </row>
    <row r="216">
      <c r="A216" s="19" t="n"/>
      <c r="B216" s="18" t="n"/>
      <c r="C216" s="19" t="n"/>
      <c r="D216" s="19" t="n"/>
      <c r="E216" s="20" t="n"/>
      <c r="F216" s="20" t="n"/>
      <c r="G216" s="19" t="n"/>
      <c r="H216" s="19" t="n"/>
      <c r="I216" s="21" t="n"/>
      <c r="J216" s="21" t="n"/>
      <c r="K216" s="22">
        <f>IF(I216="","",MAX(0,I216-J216))</f>
        <v/>
      </c>
      <c r="L216" s="19" t="n"/>
      <c r="M216" s="18" t="n"/>
      <c r="N216" s="19" t="n"/>
      <c r="O216" s="24">
        <f>IF(OR(C216="",D216=""),"",C216&amp;"|"&amp;D216&amp;"|"&amp;TEXT(I216,"0.00"))</f>
        <v/>
      </c>
      <c r="P216" s="24">
        <f>IF(OR(F216="",K216=0),0,MAX(0,TODAY()-F216))</f>
        <v/>
      </c>
      <c r="Q216" s="24">
        <f>IF(OR(L216="Paid",L216="Cancelled",F216=""),"",IF(F216&lt;TODAY(),"OVERDUE",IF(F216&lt;=TODAY()+'Setup &amp; Lists'!$M$7,"DUE SOON","")))</f>
        <v/>
      </c>
      <c r="R216" s="18" t="n"/>
    </row>
    <row r="217">
      <c r="A217" s="19" t="n"/>
      <c r="B217" s="18" t="n"/>
      <c r="C217" s="19" t="n"/>
      <c r="D217" s="19" t="n"/>
      <c r="E217" s="20" t="n"/>
      <c r="F217" s="20" t="n"/>
      <c r="G217" s="19" t="n"/>
      <c r="H217" s="19" t="n"/>
      <c r="I217" s="21" t="n"/>
      <c r="J217" s="21" t="n"/>
      <c r="K217" s="22">
        <f>IF(I217="","",MAX(0,I217-J217))</f>
        <v/>
      </c>
      <c r="L217" s="19" t="n"/>
      <c r="M217" s="18" t="n"/>
      <c r="N217" s="19" t="n"/>
      <c r="O217" s="24">
        <f>IF(OR(C217="",D217=""),"",C217&amp;"|"&amp;D217&amp;"|"&amp;TEXT(I217,"0.00"))</f>
        <v/>
      </c>
      <c r="P217" s="24">
        <f>IF(OR(F217="",K217=0),0,MAX(0,TODAY()-F217))</f>
        <v/>
      </c>
      <c r="Q217" s="24">
        <f>IF(OR(L217="Paid",L217="Cancelled",F217=""),"",IF(F217&lt;TODAY(),"OVERDUE",IF(F217&lt;=TODAY()+'Setup &amp; Lists'!$M$7,"DUE SOON","")))</f>
        <v/>
      </c>
      <c r="R217" s="18" t="n"/>
    </row>
    <row r="218">
      <c r="A218" s="19" t="n"/>
      <c r="B218" s="18" t="n"/>
      <c r="C218" s="19" t="n"/>
      <c r="D218" s="19" t="n"/>
      <c r="E218" s="20" t="n"/>
      <c r="F218" s="20" t="n"/>
      <c r="G218" s="19" t="n"/>
      <c r="H218" s="19" t="n"/>
      <c r="I218" s="21" t="n"/>
      <c r="J218" s="21" t="n"/>
      <c r="K218" s="22">
        <f>IF(I218="","",MAX(0,I218-J218))</f>
        <v/>
      </c>
      <c r="L218" s="19" t="n"/>
      <c r="M218" s="18" t="n"/>
      <c r="N218" s="19" t="n"/>
      <c r="O218" s="24">
        <f>IF(OR(C218="",D218=""),"",C218&amp;"|"&amp;D218&amp;"|"&amp;TEXT(I218,"0.00"))</f>
        <v/>
      </c>
      <c r="P218" s="24">
        <f>IF(OR(F218="",K218=0),0,MAX(0,TODAY()-F218))</f>
        <v/>
      </c>
      <c r="Q218" s="24">
        <f>IF(OR(L218="Paid",L218="Cancelled",F218=""),"",IF(F218&lt;TODAY(),"OVERDUE",IF(F218&lt;=TODAY()+'Setup &amp; Lists'!$M$7,"DUE SOON","")))</f>
        <v/>
      </c>
      <c r="R218" s="18" t="n"/>
    </row>
    <row r="219">
      <c r="A219" s="19" t="n"/>
      <c r="B219" s="18" t="n"/>
      <c r="C219" s="19" t="n"/>
      <c r="D219" s="19" t="n"/>
      <c r="E219" s="20" t="n"/>
      <c r="F219" s="20" t="n"/>
      <c r="G219" s="19" t="n"/>
      <c r="H219" s="19" t="n"/>
      <c r="I219" s="21" t="n"/>
      <c r="J219" s="21" t="n"/>
      <c r="K219" s="22">
        <f>IF(I219="","",MAX(0,I219-J219))</f>
        <v/>
      </c>
      <c r="L219" s="19" t="n"/>
      <c r="M219" s="18" t="n"/>
      <c r="N219" s="19" t="n"/>
      <c r="O219" s="24">
        <f>IF(OR(C219="",D219=""),"",C219&amp;"|"&amp;D219&amp;"|"&amp;TEXT(I219,"0.00"))</f>
        <v/>
      </c>
      <c r="P219" s="24">
        <f>IF(OR(F219="",K219=0),0,MAX(0,TODAY()-F219))</f>
        <v/>
      </c>
      <c r="Q219" s="24">
        <f>IF(OR(L219="Paid",L219="Cancelled",F219=""),"",IF(F219&lt;TODAY(),"OVERDUE",IF(F219&lt;=TODAY()+'Setup &amp; Lists'!$M$7,"DUE SOON","")))</f>
        <v/>
      </c>
      <c r="R219" s="18" t="n"/>
    </row>
    <row r="220">
      <c r="A220" s="19" t="n"/>
      <c r="B220" s="18" t="n"/>
      <c r="C220" s="19" t="n"/>
      <c r="D220" s="19" t="n"/>
      <c r="E220" s="20" t="n"/>
      <c r="F220" s="20" t="n"/>
      <c r="G220" s="19" t="n"/>
      <c r="H220" s="19" t="n"/>
      <c r="I220" s="21" t="n"/>
      <c r="J220" s="21" t="n"/>
      <c r="K220" s="22">
        <f>IF(I220="","",MAX(0,I220-J220))</f>
        <v/>
      </c>
      <c r="L220" s="19" t="n"/>
      <c r="M220" s="18" t="n"/>
      <c r="N220" s="19" t="n"/>
      <c r="O220" s="24">
        <f>IF(OR(C220="",D220=""),"",C220&amp;"|"&amp;D220&amp;"|"&amp;TEXT(I220,"0.00"))</f>
        <v/>
      </c>
      <c r="P220" s="24">
        <f>IF(OR(F220="",K220=0),0,MAX(0,TODAY()-F220))</f>
        <v/>
      </c>
      <c r="Q220" s="24">
        <f>IF(OR(L220="Paid",L220="Cancelled",F220=""),"",IF(F220&lt;TODAY(),"OVERDUE",IF(F220&lt;=TODAY()+'Setup &amp; Lists'!$M$7,"DUE SOON","")))</f>
        <v/>
      </c>
      <c r="R220" s="18" t="n"/>
    </row>
    <row r="221">
      <c r="A221" s="19" t="n"/>
      <c r="B221" s="18" t="n"/>
      <c r="C221" s="19" t="n"/>
      <c r="D221" s="19" t="n"/>
      <c r="E221" s="20" t="n"/>
      <c r="F221" s="20" t="n"/>
      <c r="G221" s="19" t="n"/>
      <c r="H221" s="19" t="n"/>
      <c r="I221" s="21" t="n"/>
      <c r="J221" s="21" t="n"/>
      <c r="K221" s="22">
        <f>IF(I221="","",MAX(0,I221-J221))</f>
        <v/>
      </c>
      <c r="L221" s="19" t="n"/>
      <c r="M221" s="18" t="n"/>
      <c r="N221" s="19" t="n"/>
      <c r="O221" s="24">
        <f>IF(OR(C221="",D221=""),"",C221&amp;"|"&amp;D221&amp;"|"&amp;TEXT(I221,"0.00"))</f>
        <v/>
      </c>
      <c r="P221" s="24">
        <f>IF(OR(F221="",K221=0),0,MAX(0,TODAY()-F221))</f>
        <v/>
      </c>
      <c r="Q221" s="24">
        <f>IF(OR(L221="Paid",L221="Cancelled",F221=""),"",IF(F221&lt;TODAY(),"OVERDUE",IF(F221&lt;=TODAY()+'Setup &amp; Lists'!$M$7,"DUE SOON","")))</f>
        <v/>
      </c>
      <c r="R221" s="18" t="n"/>
    </row>
    <row r="222">
      <c r="A222" s="19" t="n"/>
      <c r="B222" s="18" t="n"/>
      <c r="C222" s="19" t="n"/>
      <c r="D222" s="19" t="n"/>
      <c r="E222" s="20" t="n"/>
      <c r="F222" s="20" t="n"/>
      <c r="G222" s="19" t="n"/>
      <c r="H222" s="19" t="n"/>
      <c r="I222" s="21" t="n"/>
      <c r="J222" s="21" t="n"/>
      <c r="K222" s="22">
        <f>IF(I222="","",MAX(0,I222-J222))</f>
        <v/>
      </c>
      <c r="L222" s="19" t="n"/>
      <c r="M222" s="18" t="n"/>
      <c r="N222" s="19" t="n"/>
      <c r="O222" s="24">
        <f>IF(OR(C222="",D222=""),"",C222&amp;"|"&amp;D222&amp;"|"&amp;TEXT(I222,"0.00"))</f>
        <v/>
      </c>
      <c r="P222" s="24">
        <f>IF(OR(F222="",K222=0),0,MAX(0,TODAY()-F222))</f>
        <v/>
      </c>
      <c r="Q222" s="24">
        <f>IF(OR(L222="Paid",L222="Cancelled",F222=""),"",IF(F222&lt;TODAY(),"OVERDUE",IF(F222&lt;=TODAY()+'Setup &amp; Lists'!$M$7,"DUE SOON","")))</f>
        <v/>
      </c>
      <c r="R222" s="18" t="n"/>
    </row>
    <row r="223">
      <c r="A223" s="19" t="n"/>
      <c r="B223" s="18" t="n"/>
      <c r="C223" s="19" t="n"/>
      <c r="D223" s="19" t="n"/>
      <c r="E223" s="20" t="n"/>
      <c r="F223" s="20" t="n"/>
      <c r="G223" s="19" t="n"/>
      <c r="H223" s="19" t="n"/>
      <c r="I223" s="21" t="n"/>
      <c r="J223" s="21" t="n"/>
      <c r="K223" s="22">
        <f>IF(I223="","",MAX(0,I223-J223))</f>
        <v/>
      </c>
      <c r="L223" s="19" t="n"/>
      <c r="M223" s="18" t="n"/>
      <c r="N223" s="19" t="n"/>
      <c r="O223" s="24">
        <f>IF(OR(C223="",D223=""),"",C223&amp;"|"&amp;D223&amp;"|"&amp;TEXT(I223,"0.00"))</f>
        <v/>
      </c>
      <c r="P223" s="24">
        <f>IF(OR(F223="",K223=0),0,MAX(0,TODAY()-F223))</f>
        <v/>
      </c>
      <c r="Q223" s="24">
        <f>IF(OR(L223="Paid",L223="Cancelled",F223=""),"",IF(F223&lt;TODAY(),"OVERDUE",IF(F223&lt;=TODAY()+'Setup &amp; Lists'!$M$7,"DUE SOON","")))</f>
        <v/>
      </c>
      <c r="R223" s="18" t="n"/>
    </row>
    <row r="224">
      <c r="A224" s="19" t="n"/>
      <c r="B224" s="18" t="n"/>
      <c r="C224" s="19" t="n"/>
      <c r="D224" s="19" t="n"/>
      <c r="E224" s="20" t="n"/>
      <c r="F224" s="20" t="n"/>
      <c r="G224" s="19" t="n"/>
      <c r="H224" s="19" t="n"/>
      <c r="I224" s="21" t="n"/>
      <c r="J224" s="21" t="n"/>
      <c r="K224" s="22">
        <f>IF(I224="","",MAX(0,I224-J224))</f>
        <v/>
      </c>
      <c r="L224" s="19" t="n"/>
      <c r="M224" s="18" t="n"/>
      <c r="N224" s="19" t="n"/>
      <c r="O224" s="24">
        <f>IF(OR(C224="",D224=""),"",C224&amp;"|"&amp;D224&amp;"|"&amp;TEXT(I224,"0.00"))</f>
        <v/>
      </c>
      <c r="P224" s="24">
        <f>IF(OR(F224="",K224=0),0,MAX(0,TODAY()-F224))</f>
        <v/>
      </c>
      <c r="Q224" s="24">
        <f>IF(OR(L224="Paid",L224="Cancelled",F224=""),"",IF(F224&lt;TODAY(),"OVERDUE",IF(F224&lt;=TODAY()+'Setup &amp; Lists'!$M$7,"DUE SOON","")))</f>
        <v/>
      </c>
      <c r="R224" s="18" t="n"/>
    </row>
    <row r="225">
      <c r="A225" s="19" t="n"/>
      <c r="B225" s="18" t="n"/>
      <c r="C225" s="19" t="n"/>
      <c r="D225" s="19" t="n"/>
      <c r="E225" s="20" t="n"/>
      <c r="F225" s="20" t="n"/>
      <c r="G225" s="19" t="n"/>
      <c r="H225" s="19" t="n"/>
      <c r="I225" s="21" t="n"/>
      <c r="J225" s="21" t="n"/>
      <c r="K225" s="22">
        <f>IF(I225="","",MAX(0,I225-J225))</f>
        <v/>
      </c>
      <c r="L225" s="19" t="n"/>
      <c r="M225" s="18" t="n"/>
      <c r="N225" s="19" t="n"/>
      <c r="O225" s="24">
        <f>IF(OR(C225="",D225=""),"",C225&amp;"|"&amp;D225&amp;"|"&amp;TEXT(I225,"0.00"))</f>
        <v/>
      </c>
      <c r="P225" s="24">
        <f>IF(OR(F225="",K225=0),0,MAX(0,TODAY()-F225))</f>
        <v/>
      </c>
      <c r="Q225" s="24">
        <f>IF(OR(L225="Paid",L225="Cancelled",F225=""),"",IF(F225&lt;TODAY(),"OVERDUE",IF(F225&lt;=TODAY()+'Setup &amp; Lists'!$M$7,"DUE SOON","")))</f>
        <v/>
      </c>
      <c r="R225" s="18" t="n"/>
    </row>
    <row r="226">
      <c r="A226" s="19" t="n"/>
      <c r="B226" s="18" t="n"/>
      <c r="C226" s="19" t="n"/>
      <c r="D226" s="19" t="n"/>
      <c r="E226" s="20" t="n"/>
      <c r="F226" s="20" t="n"/>
      <c r="G226" s="19" t="n"/>
      <c r="H226" s="19" t="n"/>
      <c r="I226" s="21" t="n"/>
      <c r="J226" s="21" t="n"/>
      <c r="K226" s="22">
        <f>IF(I226="","",MAX(0,I226-J226))</f>
        <v/>
      </c>
      <c r="L226" s="19" t="n"/>
      <c r="M226" s="18" t="n"/>
      <c r="N226" s="19" t="n"/>
      <c r="O226" s="24">
        <f>IF(OR(C226="",D226=""),"",C226&amp;"|"&amp;D226&amp;"|"&amp;TEXT(I226,"0.00"))</f>
        <v/>
      </c>
      <c r="P226" s="24">
        <f>IF(OR(F226="",K226=0),0,MAX(0,TODAY()-F226))</f>
        <v/>
      </c>
      <c r="Q226" s="24">
        <f>IF(OR(L226="Paid",L226="Cancelled",F226=""),"",IF(F226&lt;TODAY(),"OVERDUE",IF(F226&lt;=TODAY()+'Setup &amp; Lists'!$M$7,"DUE SOON","")))</f>
        <v/>
      </c>
      <c r="R226" s="18" t="n"/>
    </row>
    <row r="227">
      <c r="A227" s="19" t="n"/>
      <c r="B227" s="18" t="n"/>
      <c r="C227" s="19" t="n"/>
      <c r="D227" s="19" t="n"/>
      <c r="E227" s="20" t="n"/>
      <c r="F227" s="20" t="n"/>
      <c r="G227" s="19" t="n"/>
      <c r="H227" s="19" t="n"/>
      <c r="I227" s="21" t="n"/>
      <c r="J227" s="21" t="n"/>
      <c r="K227" s="22">
        <f>IF(I227="","",MAX(0,I227-J227))</f>
        <v/>
      </c>
      <c r="L227" s="19" t="n"/>
      <c r="M227" s="18" t="n"/>
      <c r="N227" s="19" t="n"/>
      <c r="O227" s="24">
        <f>IF(OR(C227="",D227=""),"",C227&amp;"|"&amp;D227&amp;"|"&amp;TEXT(I227,"0.00"))</f>
        <v/>
      </c>
      <c r="P227" s="24">
        <f>IF(OR(F227="",K227=0),0,MAX(0,TODAY()-F227))</f>
        <v/>
      </c>
      <c r="Q227" s="24">
        <f>IF(OR(L227="Paid",L227="Cancelled",F227=""),"",IF(F227&lt;TODAY(),"OVERDUE",IF(F227&lt;=TODAY()+'Setup &amp; Lists'!$M$7,"DUE SOON","")))</f>
        <v/>
      </c>
      <c r="R227" s="18" t="n"/>
    </row>
    <row r="228">
      <c r="A228" s="19" t="n"/>
      <c r="B228" s="18" t="n"/>
      <c r="C228" s="19" t="n"/>
      <c r="D228" s="19" t="n"/>
      <c r="E228" s="20" t="n"/>
      <c r="F228" s="20" t="n"/>
      <c r="G228" s="19" t="n"/>
      <c r="H228" s="19" t="n"/>
      <c r="I228" s="21" t="n"/>
      <c r="J228" s="21" t="n"/>
      <c r="K228" s="22">
        <f>IF(I228="","",MAX(0,I228-J228))</f>
        <v/>
      </c>
      <c r="L228" s="19" t="n"/>
      <c r="M228" s="18" t="n"/>
      <c r="N228" s="19" t="n"/>
      <c r="O228" s="24">
        <f>IF(OR(C228="",D228=""),"",C228&amp;"|"&amp;D228&amp;"|"&amp;TEXT(I228,"0.00"))</f>
        <v/>
      </c>
      <c r="P228" s="24">
        <f>IF(OR(F228="",K228=0),0,MAX(0,TODAY()-F228))</f>
        <v/>
      </c>
      <c r="Q228" s="24">
        <f>IF(OR(L228="Paid",L228="Cancelled",F228=""),"",IF(F228&lt;TODAY(),"OVERDUE",IF(F228&lt;=TODAY()+'Setup &amp; Lists'!$M$7,"DUE SOON","")))</f>
        <v/>
      </c>
      <c r="R228" s="18" t="n"/>
    </row>
    <row r="229">
      <c r="A229" s="19" t="n"/>
      <c r="B229" s="18" t="n"/>
      <c r="C229" s="19" t="n"/>
      <c r="D229" s="19" t="n"/>
      <c r="E229" s="20" t="n"/>
      <c r="F229" s="20" t="n"/>
      <c r="G229" s="19" t="n"/>
      <c r="H229" s="19" t="n"/>
      <c r="I229" s="21" t="n"/>
      <c r="J229" s="21" t="n"/>
      <c r="K229" s="22">
        <f>IF(I229="","",MAX(0,I229-J229))</f>
        <v/>
      </c>
      <c r="L229" s="19" t="n"/>
      <c r="M229" s="18" t="n"/>
      <c r="N229" s="19" t="n"/>
      <c r="O229" s="24">
        <f>IF(OR(C229="",D229=""),"",C229&amp;"|"&amp;D229&amp;"|"&amp;TEXT(I229,"0.00"))</f>
        <v/>
      </c>
      <c r="P229" s="24">
        <f>IF(OR(F229="",K229=0),0,MAX(0,TODAY()-F229))</f>
        <v/>
      </c>
      <c r="Q229" s="24">
        <f>IF(OR(L229="Paid",L229="Cancelled",F229=""),"",IF(F229&lt;TODAY(),"OVERDUE",IF(F229&lt;=TODAY()+'Setup &amp; Lists'!$M$7,"DUE SOON","")))</f>
        <v/>
      </c>
      <c r="R229" s="18" t="n"/>
    </row>
    <row r="230">
      <c r="A230" s="19" t="n"/>
      <c r="B230" s="18" t="n"/>
      <c r="C230" s="19" t="n"/>
      <c r="D230" s="19" t="n"/>
      <c r="E230" s="20" t="n"/>
      <c r="F230" s="20" t="n"/>
      <c r="G230" s="19" t="n"/>
      <c r="H230" s="19" t="n"/>
      <c r="I230" s="21" t="n"/>
      <c r="J230" s="21" t="n"/>
      <c r="K230" s="22">
        <f>IF(I230="","",MAX(0,I230-J230))</f>
        <v/>
      </c>
      <c r="L230" s="19" t="n"/>
      <c r="M230" s="18" t="n"/>
      <c r="N230" s="19" t="n"/>
      <c r="O230" s="24">
        <f>IF(OR(C230="",D230=""),"",C230&amp;"|"&amp;D230&amp;"|"&amp;TEXT(I230,"0.00"))</f>
        <v/>
      </c>
      <c r="P230" s="24">
        <f>IF(OR(F230="",K230=0),0,MAX(0,TODAY()-F230))</f>
        <v/>
      </c>
      <c r="Q230" s="24">
        <f>IF(OR(L230="Paid",L230="Cancelled",F230=""),"",IF(F230&lt;TODAY(),"OVERDUE",IF(F230&lt;=TODAY()+'Setup &amp; Lists'!$M$7,"DUE SOON","")))</f>
        <v/>
      </c>
      <c r="R230" s="18" t="n"/>
    </row>
    <row r="231">
      <c r="A231" s="19" t="n"/>
      <c r="B231" s="18" t="n"/>
      <c r="C231" s="19" t="n"/>
      <c r="D231" s="19" t="n"/>
      <c r="E231" s="20" t="n"/>
      <c r="F231" s="20" t="n"/>
      <c r="G231" s="19" t="n"/>
      <c r="H231" s="19" t="n"/>
      <c r="I231" s="21" t="n"/>
      <c r="J231" s="21" t="n"/>
      <c r="K231" s="22">
        <f>IF(I231="","",MAX(0,I231-J231))</f>
        <v/>
      </c>
      <c r="L231" s="19" t="n"/>
      <c r="M231" s="18" t="n"/>
      <c r="N231" s="19" t="n"/>
      <c r="O231" s="24">
        <f>IF(OR(C231="",D231=""),"",C231&amp;"|"&amp;D231&amp;"|"&amp;TEXT(I231,"0.00"))</f>
        <v/>
      </c>
      <c r="P231" s="24">
        <f>IF(OR(F231="",K231=0),0,MAX(0,TODAY()-F231))</f>
        <v/>
      </c>
      <c r="Q231" s="24">
        <f>IF(OR(L231="Paid",L231="Cancelled",F231=""),"",IF(F231&lt;TODAY(),"OVERDUE",IF(F231&lt;=TODAY()+'Setup &amp; Lists'!$M$7,"DUE SOON","")))</f>
        <v/>
      </c>
      <c r="R231" s="18" t="n"/>
    </row>
    <row r="232">
      <c r="A232" s="19" t="n"/>
      <c r="B232" s="18" t="n"/>
      <c r="C232" s="19" t="n"/>
      <c r="D232" s="19" t="n"/>
      <c r="E232" s="20" t="n"/>
      <c r="F232" s="20" t="n"/>
      <c r="G232" s="19" t="n"/>
      <c r="H232" s="19" t="n"/>
      <c r="I232" s="21" t="n"/>
      <c r="J232" s="21" t="n"/>
      <c r="K232" s="22">
        <f>IF(I232="","",MAX(0,I232-J232))</f>
        <v/>
      </c>
      <c r="L232" s="19" t="n"/>
      <c r="M232" s="18" t="n"/>
      <c r="N232" s="19" t="n"/>
      <c r="O232" s="24">
        <f>IF(OR(C232="",D232=""),"",C232&amp;"|"&amp;D232&amp;"|"&amp;TEXT(I232,"0.00"))</f>
        <v/>
      </c>
      <c r="P232" s="24">
        <f>IF(OR(F232="",K232=0),0,MAX(0,TODAY()-F232))</f>
        <v/>
      </c>
      <c r="Q232" s="24">
        <f>IF(OR(L232="Paid",L232="Cancelled",F232=""),"",IF(F232&lt;TODAY(),"OVERDUE",IF(F232&lt;=TODAY()+'Setup &amp; Lists'!$M$7,"DUE SOON","")))</f>
        <v/>
      </c>
      <c r="R232" s="18" t="n"/>
    </row>
    <row r="233">
      <c r="A233" s="19" t="n"/>
      <c r="B233" s="18" t="n"/>
      <c r="C233" s="19" t="n"/>
      <c r="D233" s="19" t="n"/>
      <c r="E233" s="20" t="n"/>
      <c r="F233" s="20" t="n"/>
      <c r="G233" s="19" t="n"/>
      <c r="H233" s="19" t="n"/>
      <c r="I233" s="21" t="n"/>
      <c r="J233" s="21" t="n"/>
      <c r="K233" s="22">
        <f>IF(I233="","",MAX(0,I233-J233))</f>
        <v/>
      </c>
      <c r="L233" s="19" t="n"/>
      <c r="M233" s="18" t="n"/>
      <c r="N233" s="19" t="n"/>
      <c r="O233" s="24">
        <f>IF(OR(C233="",D233=""),"",C233&amp;"|"&amp;D233&amp;"|"&amp;TEXT(I233,"0.00"))</f>
        <v/>
      </c>
      <c r="P233" s="24">
        <f>IF(OR(F233="",K233=0),0,MAX(0,TODAY()-F233))</f>
        <v/>
      </c>
      <c r="Q233" s="24">
        <f>IF(OR(L233="Paid",L233="Cancelled",F233=""),"",IF(F233&lt;TODAY(),"OVERDUE",IF(F233&lt;=TODAY()+'Setup &amp; Lists'!$M$7,"DUE SOON","")))</f>
        <v/>
      </c>
      <c r="R233" s="18" t="n"/>
    </row>
    <row r="234">
      <c r="A234" s="19" t="n"/>
      <c r="B234" s="18" t="n"/>
      <c r="C234" s="19" t="n"/>
      <c r="D234" s="19" t="n"/>
      <c r="E234" s="20" t="n"/>
      <c r="F234" s="20" t="n"/>
      <c r="G234" s="19" t="n"/>
      <c r="H234" s="19" t="n"/>
      <c r="I234" s="21" t="n"/>
      <c r="J234" s="21" t="n"/>
      <c r="K234" s="22">
        <f>IF(I234="","",MAX(0,I234-J234))</f>
        <v/>
      </c>
      <c r="L234" s="19" t="n"/>
      <c r="M234" s="18" t="n"/>
      <c r="N234" s="19" t="n"/>
      <c r="O234" s="24">
        <f>IF(OR(C234="",D234=""),"",C234&amp;"|"&amp;D234&amp;"|"&amp;TEXT(I234,"0.00"))</f>
        <v/>
      </c>
      <c r="P234" s="24">
        <f>IF(OR(F234="",K234=0),0,MAX(0,TODAY()-F234))</f>
        <v/>
      </c>
      <c r="Q234" s="24">
        <f>IF(OR(L234="Paid",L234="Cancelled",F234=""),"",IF(F234&lt;TODAY(),"OVERDUE",IF(F234&lt;=TODAY()+'Setup &amp; Lists'!$M$7,"DUE SOON","")))</f>
        <v/>
      </c>
      <c r="R234" s="18" t="n"/>
    </row>
    <row r="235">
      <c r="A235" s="19" t="n"/>
      <c r="B235" s="18" t="n"/>
      <c r="C235" s="19" t="n"/>
      <c r="D235" s="19" t="n"/>
      <c r="E235" s="20" t="n"/>
      <c r="F235" s="20" t="n"/>
      <c r="G235" s="19" t="n"/>
      <c r="H235" s="19" t="n"/>
      <c r="I235" s="21" t="n"/>
      <c r="J235" s="21" t="n"/>
      <c r="K235" s="22">
        <f>IF(I235="","",MAX(0,I235-J235))</f>
        <v/>
      </c>
      <c r="L235" s="19" t="n"/>
      <c r="M235" s="18" t="n"/>
      <c r="N235" s="19" t="n"/>
      <c r="O235" s="24">
        <f>IF(OR(C235="",D235=""),"",C235&amp;"|"&amp;D235&amp;"|"&amp;TEXT(I235,"0.00"))</f>
        <v/>
      </c>
      <c r="P235" s="24">
        <f>IF(OR(F235="",K235=0),0,MAX(0,TODAY()-F235))</f>
        <v/>
      </c>
      <c r="Q235" s="24">
        <f>IF(OR(L235="Paid",L235="Cancelled",F235=""),"",IF(F235&lt;TODAY(),"OVERDUE",IF(F235&lt;=TODAY()+'Setup &amp; Lists'!$M$7,"DUE SOON","")))</f>
        <v/>
      </c>
      <c r="R235" s="18" t="n"/>
    </row>
    <row r="236">
      <c r="A236" s="19" t="n"/>
      <c r="B236" s="18" t="n"/>
      <c r="C236" s="19" t="n"/>
      <c r="D236" s="19" t="n"/>
      <c r="E236" s="20" t="n"/>
      <c r="F236" s="20" t="n"/>
      <c r="G236" s="19" t="n"/>
      <c r="H236" s="19" t="n"/>
      <c r="I236" s="21" t="n"/>
      <c r="J236" s="21" t="n"/>
      <c r="K236" s="22">
        <f>IF(I236="","",MAX(0,I236-J236))</f>
        <v/>
      </c>
      <c r="L236" s="19" t="n"/>
      <c r="M236" s="18" t="n"/>
      <c r="N236" s="19" t="n"/>
      <c r="O236" s="24">
        <f>IF(OR(C236="",D236=""),"",C236&amp;"|"&amp;D236&amp;"|"&amp;TEXT(I236,"0.00"))</f>
        <v/>
      </c>
      <c r="P236" s="24">
        <f>IF(OR(F236="",K236=0),0,MAX(0,TODAY()-F236))</f>
        <v/>
      </c>
      <c r="Q236" s="24">
        <f>IF(OR(L236="Paid",L236="Cancelled",F236=""),"",IF(F236&lt;TODAY(),"OVERDUE",IF(F236&lt;=TODAY()+'Setup &amp; Lists'!$M$7,"DUE SOON","")))</f>
        <v/>
      </c>
      <c r="R236" s="18" t="n"/>
    </row>
    <row r="237">
      <c r="A237" s="19" t="n"/>
      <c r="B237" s="18" t="n"/>
      <c r="C237" s="19" t="n"/>
      <c r="D237" s="19" t="n"/>
      <c r="E237" s="20" t="n"/>
      <c r="F237" s="20" t="n"/>
      <c r="G237" s="19" t="n"/>
      <c r="H237" s="19" t="n"/>
      <c r="I237" s="21" t="n"/>
      <c r="J237" s="21" t="n"/>
      <c r="K237" s="22">
        <f>IF(I237="","",MAX(0,I237-J237))</f>
        <v/>
      </c>
      <c r="L237" s="19" t="n"/>
      <c r="M237" s="18" t="n"/>
      <c r="N237" s="19" t="n"/>
      <c r="O237" s="24">
        <f>IF(OR(C237="",D237=""),"",C237&amp;"|"&amp;D237&amp;"|"&amp;TEXT(I237,"0.00"))</f>
        <v/>
      </c>
      <c r="P237" s="24">
        <f>IF(OR(F237="",K237=0),0,MAX(0,TODAY()-F237))</f>
        <v/>
      </c>
      <c r="Q237" s="24">
        <f>IF(OR(L237="Paid",L237="Cancelled",F237=""),"",IF(F237&lt;TODAY(),"OVERDUE",IF(F237&lt;=TODAY()+'Setup &amp; Lists'!$M$7,"DUE SOON","")))</f>
        <v/>
      </c>
      <c r="R237" s="18" t="n"/>
    </row>
    <row r="238">
      <c r="A238" s="19" t="n"/>
      <c r="B238" s="18" t="n"/>
      <c r="C238" s="19" t="n"/>
      <c r="D238" s="19" t="n"/>
      <c r="E238" s="20" t="n"/>
      <c r="F238" s="20" t="n"/>
      <c r="G238" s="19" t="n"/>
      <c r="H238" s="19" t="n"/>
      <c r="I238" s="21" t="n"/>
      <c r="J238" s="21" t="n"/>
      <c r="K238" s="22">
        <f>IF(I238="","",MAX(0,I238-J238))</f>
        <v/>
      </c>
      <c r="L238" s="19" t="n"/>
      <c r="M238" s="18" t="n"/>
      <c r="N238" s="19" t="n"/>
      <c r="O238" s="24">
        <f>IF(OR(C238="",D238=""),"",C238&amp;"|"&amp;D238&amp;"|"&amp;TEXT(I238,"0.00"))</f>
        <v/>
      </c>
      <c r="P238" s="24">
        <f>IF(OR(F238="",K238=0),0,MAX(0,TODAY()-F238))</f>
        <v/>
      </c>
      <c r="Q238" s="24">
        <f>IF(OR(L238="Paid",L238="Cancelled",F238=""),"",IF(F238&lt;TODAY(),"OVERDUE",IF(F238&lt;=TODAY()+'Setup &amp; Lists'!$M$7,"DUE SOON","")))</f>
        <v/>
      </c>
      <c r="R238" s="18" t="n"/>
    </row>
    <row r="239">
      <c r="A239" s="19" t="n"/>
      <c r="B239" s="18" t="n"/>
      <c r="C239" s="19" t="n"/>
      <c r="D239" s="19" t="n"/>
      <c r="E239" s="20" t="n"/>
      <c r="F239" s="20" t="n"/>
      <c r="G239" s="19" t="n"/>
      <c r="H239" s="19" t="n"/>
      <c r="I239" s="21" t="n"/>
      <c r="J239" s="21" t="n"/>
      <c r="K239" s="22">
        <f>IF(I239="","",MAX(0,I239-J239))</f>
        <v/>
      </c>
      <c r="L239" s="19" t="n"/>
      <c r="M239" s="18" t="n"/>
      <c r="N239" s="19" t="n"/>
      <c r="O239" s="24">
        <f>IF(OR(C239="",D239=""),"",C239&amp;"|"&amp;D239&amp;"|"&amp;TEXT(I239,"0.00"))</f>
        <v/>
      </c>
      <c r="P239" s="24">
        <f>IF(OR(F239="",K239=0),0,MAX(0,TODAY()-F239))</f>
        <v/>
      </c>
      <c r="Q239" s="24">
        <f>IF(OR(L239="Paid",L239="Cancelled",F239=""),"",IF(F239&lt;TODAY(),"OVERDUE",IF(F239&lt;=TODAY()+'Setup &amp; Lists'!$M$7,"DUE SOON","")))</f>
        <v/>
      </c>
      <c r="R239" s="18" t="n"/>
    </row>
    <row r="240">
      <c r="A240" s="19" t="n"/>
      <c r="B240" s="18" t="n"/>
      <c r="C240" s="19" t="n"/>
      <c r="D240" s="19" t="n"/>
      <c r="E240" s="20" t="n"/>
      <c r="F240" s="20" t="n"/>
      <c r="G240" s="19" t="n"/>
      <c r="H240" s="19" t="n"/>
      <c r="I240" s="21" t="n"/>
      <c r="J240" s="21" t="n"/>
      <c r="K240" s="22">
        <f>IF(I240="","",MAX(0,I240-J240))</f>
        <v/>
      </c>
      <c r="L240" s="19" t="n"/>
      <c r="M240" s="18" t="n"/>
      <c r="N240" s="19" t="n"/>
      <c r="O240" s="24">
        <f>IF(OR(C240="",D240=""),"",C240&amp;"|"&amp;D240&amp;"|"&amp;TEXT(I240,"0.00"))</f>
        <v/>
      </c>
      <c r="P240" s="24">
        <f>IF(OR(F240="",K240=0),0,MAX(0,TODAY()-F240))</f>
        <v/>
      </c>
      <c r="Q240" s="24">
        <f>IF(OR(L240="Paid",L240="Cancelled",F240=""),"",IF(F240&lt;TODAY(),"OVERDUE",IF(F240&lt;=TODAY()+'Setup &amp; Lists'!$M$7,"DUE SOON","")))</f>
        <v/>
      </c>
      <c r="R240" s="18" t="n"/>
    </row>
    <row r="241">
      <c r="A241" s="19" t="n"/>
      <c r="B241" s="18" t="n"/>
      <c r="C241" s="19" t="n"/>
      <c r="D241" s="19" t="n"/>
      <c r="E241" s="20" t="n"/>
      <c r="F241" s="20" t="n"/>
      <c r="G241" s="19" t="n"/>
      <c r="H241" s="19" t="n"/>
      <c r="I241" s="21" t="n"/>
      <c r="J241" s="21" t="n"/>
      <c r="K241" s="22">
        <f>IF(I241="","",MAX(0,I241-J241))</f>
        <v/>
      </c>
      <c r="L241" s="19" t="n"/>
      <c r="M241" s="18" t="n"/>
      <c r="N241" s="19" t="n"/>
      <c r="O241" s="24">
        <f>IF(OR(C241="",D241=""),"",C241&amp;"|"&amp;D241&amp;"|"&amp;TEXT(I241,"0.00"))</f>
        <v/>
      </c>
      <c r="P241" s="24">
        <f>IF(OR(F241="",K241=0),0,MAX(0,TODAY()-F241))</f>
        <v/>
      </c>
      <c r="Q241" s="24">
        <f>IF(OR(L241="Paid",L241="Cancelled",F241=""),"",IF(F241&lt;TODAY(),"OVERDUE",IF(F241&lt;=TODAY()+'Setup &amp; Lists'!$M$7,"DUE SOON","")))</f>
        <v/>
      </c>
      <c r="R241" s="18" t="n"/>
    </row>
    <row r="242">
      <c r="A242" s="19" t="n"/>
      <c r="B242" s="18" t="n"/>
      <c r="C242" s="19" t="n"/>
      <c r="D242" s="19" t="n"/>
      <c r="E242" s="20" t="n"/>
      <c r="F242" s="20" t="n"/>
      <c r="G242" s="19" t="n"/>
      <c r="H242" s="19" t="n"/>
      <c r="I242" s="21" t="n"/>
      <c r="J242" s="21" t="n"/>
      <c r="K242" s="22">
        <f>IF(I242="","",MAX(0,I242-J242))</f>
        <v/>
      </c>
      <c r="L242" s="19" t="n"/>
      <c r="M242" s="18" t="n"/>
      <c r="N242" s="19" t="n"/>
      <c r="O242" s="24">
        <f>IF(OR(C242="",D242=""),"",C242&amp;"|"&amp;D242&amp;"|"&amp;TEXT(I242,"0.00"))</f>
        <v/>
      </c>
      <c r="P242" s="24">
        <f>IF(OR(F242="",K242=0),0,MAX(0,TODAY()-F242))</f>
        <v/>
      </c>
      <c r="Q242" s="24">
        <f>IF(OR(L242="Paid",L242="Cancelled",F242=""),"",IF(F242&lt;TODAY(),"OVERDUE",IF(F242&lt;=TODAY()+'Setup &amp; Lists'!$M$7,"DUE SOON","")))</f>
        <v/>
      </c>
      <c r="R242" s="18" t="n"/>
    </row>
    <row r="243">
      <c r="A243" s="19" t="n"/>
      <c r="B243" s="18" t="n"/>
      <c r="C243" s="19" t="n"/>
      <c r="D243" s="19" t="n"/>
      <c r="E243" s="20" t="n"/>
      <c r="F243" s="20" t="n"/>
      <c r="G243" s="19" t="n"/>
      <c r="H243" s="19" t="n"/>
      <c r="I243" s="21" t="n"/>
      <c r="J243" s="21" t="n"/>
      <c r="K243" s="22">
        <f>IF(I243="","",MAX(0,I243-J243))</f>
        <v/>
      </c>
      <c r="L243" s="19" t="n"/>
      <c r="M243" s="18" t="n"/>
      <c r="N243" s="19" t="n"/>
      <c r="O243" s="24">
        <f>IF(OR(C243="",D243=""),"",C243&amp;"|"&amp;D243&amp;"|"&amp;TEXT(I243,"0.00"))</f>
        <v/>
      </c>
      <c r="P243" s="24">
        <f>IF(OR(F243="",K243=0),0,MAX(0,TODAY()-F243))</f>
        <v/>
      </c>
      <c r="Q243" s="24">
        <f>IF(OR(L243="Paid",L243="Cancelled",F243=""),"",IF(F243&lt;TODAY(),"OVERDUE",IF(F243&lt;=TODAY()+'Setup &amp; Lists'!$M$7,"DUE SOON","")))</f>
        <v/>
      </c>
      <c r="R243" s="18" t="n"/>
    </row>
    <row r="244">
      <c r="A244" s="19" t="n"/>
      <c r="B244" s="18" t="n"/>
      <c r="C244" s="19" t="n"/>
      <c r="D244" s="19" t="n"/>
      <c r="E244" s="20" t="n"/>
      <c r="F244" s="20" t="n"/>
      <c r="G244" s="19" t="n"/>
      <c r="H244" s="19" t="n"/>
      <c r="I244" s="21" t="n"/>
      <c r="J244" s="21" t="n"/>
      <c r="K244" s="22">
        <f>IF(I244="","",MAX(0,I244-J244))</f>
        <v/>
      </c>
      <c r="L244" s="19" t="n"/>
      <c r="M244" s="18" t="n"/>
      <c r="N244" s="19" t="n"/>
      <c r="O244" s="24">
        <f>IF(OR(C244="",D244=""),"",C244&amp;"|"&amp;D244&amp;"|"&amp;TEXT(I244,"0.00"))</f>
        <v/>
      </c>
      <c r="P244" s="24">
        <f>IF(OR(F244="",K244=0),0,MAX(0,TODAY()-F244))</f>
        <v/>
      </c>
      <c r="Q244" s="24">
        <f>IF(OR(L244="Paid",L244="Cancelled",F244=""),"",IF(F244&lt;TODAY(),"OVERDUE",IF(F244&lt;=TODAY()+'Setup &amp; Lists'!$M$7,"DUE SOON","")))</f>
        <v/>
      </c>
      <c r="R244" s="18" t="n"/>
    </row>
    <row r="245">
      <c r="A245" s="19" t="n"/>
      <c r="B245" s="18" t="n"/>
      <c r="C245" s="19" t="n"/>
      <c r="D245" s="19" t="n"/>
      <c r="E245" s="20" t="n"/>
      <c r="F245" s="20" t="n"/>
      <c r="G245" s="19" t="n"/>
      <c r="H245" s="19" t="n"/>
      <c r="I245" s="21" t="n"/>
      <c r="J245" s="21" t="n"/>
      <c r="K245" s="22">
        <f>IF(I245="","",MAX(0,I245-J245))</f>
        <v/>
      </c>
      <c r="L245" s="19" t="n"/>
      <c r="M245" s="18" t="n"/>
      <c r="N245" s="19" t="n"/>
      <c r="O245" s="24">
        <f>IF(OR(C245="",D245=""),"",C245&amp;"|"&amp;D245&amp;"|"&amp;TEXT(I245,"0.00"))</f>
        <v/>
      </c>
      <c r="P245" s="24">
        <f>IF(OR(F245="",K245=0),0,MAX(0,TODAY()-F245))</f>
        <v/>
      </c>
      <c r="Q245" s="24">
        <f>IF(OR(L245="Paid",L245="Cancelled",F245=""),"",IF(F245&lt;TODAY(),"OVERDUE",IF(F245&lt;=TODAY()+'Setup &amp; Lists'!$M$7,"DUE SOON","")))</f>
        <v/>
      </c>
      <c r="R245" s="18" t="n"/>
    </row>
    <row r="246">
      <c r="A246" s="19" t="n"/>
      <c r="B246" s="18" t="n"/>
      <c r="C246" s="19" t="n"/>
      <c r="D246" s="19" t="n"/>
      <c r="E246" s="20" t="n"/>
      <c r="F246" s="20" t="n"/>
      <c r="G246" s="19" t="n"/>
      <c r="H246" s="19" t="n"/>
      <c r="I246" s="21" t="n"/>
      <c r="J246" s="21" t="n"/>
      <c r="K246" s="22">
        <f>IF(I246="","",MAX(0,I246-J246))</f>
        <v/>
      </c>
      <c r="L246" s="19" t="n"/>
      <c r="M246" s="18" t="n"/>
      <c r="N246" s="19" t="n"/>
      <c r="O246" s="24">
        <f>IF(OR(C246="",D246=""),"",C246&amp;"|"&amp;D246&amp;"|"&amp;TEXT(I246,"0.00"))</f>
        <v/>
      </c>
      <c r="P246" s="24">
        <f>IF(OR(F246="",K246=0),0,MAX(0,TODAY()-F246))</f>
        <v/>
      </c>
      <c r="Q246" s="24">
        <f>IF(OR(L246="Paid",L246="Cancelled",F246=""),"",IF(F246&lt;TODAY(),"OVERDUE",IF(F246&lt;=TODAY()+'Setup &amp; Lists'!$M$7,"DUE SOON","")))</f>
        <v/>
      </c>
      <c r="R246" s="18" t="n"/>
    </row>
    <row r="247">
      <c r="A247" s="19" t="n"/>
      <c r="B247" s="18" t="n"/>
      <c r="C247" s="19" t="n"/>
      <c r="D247" s="19" t="n"/>
      <c r="E247" s="20" t="n"/>
      <c r="F247" s="20" t="n"/>
      <c r="G247" s="19" t="n"/>
      <c r="H247" s="19" t="n"/>
      <c r="I247" s="21" t="n"/>
      <c r="J247" s="21" t="n"/>
      <c r="K247" s="22">
        <f>IF(I247="","",MAX(0,I247-J247))</f>
        <v/>
      </c>
      <c r="L247" s="19" t="n"/>
      <c r="M247" s="18" t="n"/>
      <c r="N247" s="19" t="n"/>
      <c r="O247" s="24">
        <f>IF(OR(C247="",D247=""),"",C247&amp;"|"&amp;D247&amp;"|"&amp;TEXT(I247,"0.00"))</f>
        <v/>
      </c>
      <c r="P247" s="24">
        <f>IF(OR(F247="",K247=0),0,MAX(0,TODAY()-F247))</f>
        <v/>
      </c>
      <c r="Q247" s="24">
        <f>IF(OR(L247="Paid",L247="Cancelled",F247=""),"",IF(F247&lt;TODAY(),"OVERDUE",IF(F247&lt;=TODAY()+'Setup &amp; Lists'!$M$7,"DUE SOON","")))</f>
        <v/>
      </c>
      <c r="R247" s="18" t="n"/>
    </row>
    <row r="248">
      <c r="A248" s="19" t="n"/>
      <c r="B248" s="18" t="n"/>
      <c r="C248" s="19" t="n"/>
      <c r="D248" s="19" t="n"/>
      <c r="E248" s="20" t="n"/>
      <c r="F248" s="20" t="n"/>
      <c r="G248" s="19" t="n"/>
      <c r="H248" s="19" t="n"/>
      <c r="I248" s="21" t="n"/>
      <c r="J248" s="21" t="n"/>
      <c r="K248" s="22">
        <f>IF(I248="","",MAX(0,I248-J248))</f>
        <v/>
      </c>
      <c r="L248" s="19" t="n"/>
      <c r="M248" s="18" t="n"/>
      <c r="N248" s="19" t="n"/>
      <c r="O248" s="24">
        <f>IF(OR(C248="",D248=""),"",C248&amp;"|"&amp;D248&amp;"|"&amp;TEXT(I248,"0.00"))</f>
        <v/>
      </c>
      <c r="P248" s="24">
        <f>IF(OR(F248="",K248=0),0,MAX(0,TODAY()-F248))</f>
        <v/>
      </c>
      <c r="Q248" s="24">
        <f>IF(OR(L248="Paid",L248="Cancelled",F248=""),"",IF(F248&lt;TODAY(),"OVERDUE",IF(F248&lt;=TODAY()+'Setup &amp; Lists'!$M$7,"DUE SOON","")))</f>
        <v/>
      </c>
      <c r="R248" s="18" t="n"/>
    </row>
    <row r="249">
      <c r="A249" s="19" t="n"/>
      <c r="B249" s="18" t="n"/>
      <c r="C249" s="19" t="n"/>
      <c r="D249" s="19" t="n"/>
      <c r="E249" s="20" t="n"/>
      <c r="F249" s="20" t="n"/>
      <c r="G249" s="19" t="n"/>
      <c r="H249" s="19" t="n"/>
      <c r="I249" s="21" t="n"/>
      <c r="J249" s="21" t="n"/>
      <c r="K249" s="22">
        <f>IF(I249="","",MAX(0,I249-J249))</f>
        <v/>
      </c>
      <c r="L249" s="19" t="n"/>
      <c r="M249" s="18" t="n"/>
      <c r="N249" s="19" t="n"/>
      <c r="O249" s="24">
        <f>IF(OR(C249="",D249=""),"",C249&amp;"|"&amp;D249&amp;"|"&amp;TEXT(I249,"0.00"))</f>
        <v/>
      </c>
      <c r="P249" s="24">
        <f>IF(OR(F249="",K249=0),0,MAX(0,TODAY()-F249))</f>
        <v/>
      </c>
      <c r="Q249" s="24">
        <f>IF(OR(L249="Paid",L249="Cancelled",F249=""),"",IF(F249&lt;TODAY(),"OVERDUE",IF(F249&lt;=TODAY()+'Setup &amp; Lists'!$M$7,"DUE SOON","")))</f>
        <v/>
      </c>
      <c r="R249" s="18" t="n"/>
    </row>
    <row r="250">
      <c r="A250" s="19" t="n"/>
      <c r="B250" s="18" t="n"/>
      <c r="C250" s="19" t="n"/>
      <c r="D250" s="19" t="n"/>
      <c r="E250" s="20" t="n"/>
      <c r="F250" s="20" t="n"/>
      <c r="G250" s="19" t="n"/>
      <c r="H250" s="19" t="n"/>
      <c r="I250" s="21" t="n"/>
      <c r="J250" s="21" t="n"/>
      <c r="K250" s="22">
        <f>IF(I250="","",MAX(0,I250-J250))</f>
        <v/>
      </c>
      <c r="L250" s="19" t="n"/>
      <c r="M250" s="18" t="n"/>
      <c r="N250" s="19" t="n"/>
      <c r="O250" s="24">
        <f>IF(OR(C250="",D250=""),"",C250&amp;"|"&amp;D250&amp;"|"&amp;TEXT(I250,"0.00"))</f>
        <v/>
      </c>
      <c r="P250" s="24">
        <f>IF(OR(F250="",K250=0),0,MAX(0,TODAY()-F250))</f>
        <v/>
      </c>
      <c r="Q250" s="24">
        <f>IF(OR(L250="Paid",L250="Cancelled",F250=""),"",IF(F250&lt;TODAY(),"OVERDUE",IF(F250&lt;=TODAY()+'Setup &amp; Lists'!$M$7,"DUE SOON","")))</f>
        <v/>
      </c>
      <c r="R250" s="18" t="n"/>
    </row>
    <row r="251">
      <c r="A251" s="19" t="n"/>
      <c r="B251" s="18" t="n"/>
      <c r="C251" s="19" t="n"/>
      <c r="D251" s="19" t="n"/>
      <c r="E251" s="20" t="n"/>
      <c r="F251" s="20" t="n"/>
      <c r="G251" s="19" t="n"/>
      <c r="H251" s="19" t="n"/>
      <c r="I251" s="21" t="n"/>
      <c r="J251" s="21" t="n"/>
      <c r="K251" s="22">
        <f>IF(I251="","",MAX(0,I251-J251))</f>
        <v/>
      </c>
      <c r="L251" s="19" t="n"/>
      <c r="M251" s="18" t="n"/>
      <c r="N251" s="19" t="n"/>
      <c r="O251" s="24">
        <f>IF(OR(C251="",D251=""),"",C251&amp;"|"&amp;D251&amp;"|"&amp;TEXT(I251,"0.00"))</f>
        <v/>
      </c>
      <c r="P251" s="24">
        <f>IF(OR(F251="",K251=0),0,MAX(0,TODAY()-F251))</f>
        <v/>
      </c>
      <c r="Q251" s="24">
        <f>IF(OR(L251="Paid",L251="Cancelled",F251=""),"",IF(F251&lt;TODAY(),"OVERDUE",IF(F251&lt;=TODAY()+'Setup &amp; Lists'!$M$7,"DUE SOON","")))</f>
        <v/>
      </c>
      <c r="R251" s="18" t="n"/>
    </row>
    <row r="252">
      <c r="A252" s="19" t="n"/>
      <c r="B252" s="18" t="n"/>
      <c r="C252" s="19" t="n"/>
      <c r="D252" s="19" t="n"/>
      <c r="E252" s="20" t="n"/>
      <c r="F252" s="20" t="n"/>
      <c r="G252" s="19" t="n"/>
      <c r="H252" s="19" t="n"/>
      <c r="I252" s="21" t="n"/>
      <c r="J252" s="21" t="n"/>
      <c r="K252" s="22">
        <f>IF(I252="","",MAX(0,I252-J252))</f>
        <v/>
      </c>
      <c r="L252" s="19" t="n"/>
      <c r="M252" s="18" t="n"/>
      <c r="N252" s="19" t="n"/>
      <c r="O252" s="24">
        <f>IF(OR(C252="",D252=""),"",C252&amp;"|"&amp;D252&amp;"|"&amp;TEXT(I252,"0.00"))</f>
        <v/>
      </c>
      <c r="P252" s="24">
        <f>IF(OR(F252="",K252=0),0,MAX(0,TODAY()-F252))</f>
        <v/>
      </c>
      <c r="Q252" s="24">
        <f>IF(OR(L252="Paid",L252="Cancelled",F252=""),"",IF(F252&lt;TODAY(),"OVERDUE",IF(F252&lt;=TODAY()+'Setup &amp; Lists'!$M$7,"DUE SOON","")))</f>
        <v/>
      </c>
      <c r="R252" s="18" t="n"/>
    </row>
    <row r="253">
      <c r="A253" s="19" t="n"/>
      <c r="B253" s="18" t="n"/>
      <c r="C253" s="19" t="n"/>
      <c r="D253" s="19" t="n"/>
      <c r="E253" s="20" t="n"/>
      <c r="F253" s="20" t="n"/>
      <c r="G253" s="19" t="n"/>
      <c r="H253" s="19" t="n"/>
      <c r="I253" s="21" t="n"/>
      <c r="J253" s="21" t="n"/>
      <c r="K253" s="22">
        <f>IF(I253="","",MAX(0,I253-J253))</f>
        <v/>
      </c>
      <c r="L253" s="19" t="n"/>
      <c r="M253" s="18" t="n"/>
      <c r="N253" s="19" t="n"/>
      <c r="O253" s="24">
        <f>IF(OR(C253="",D253=""),"",C253&amp;"|"&amp;D253&amp;"|"&amp;TEXT(I253,"0.00"))</f>
        <v/>
      </c>
      <c r="P253" s="24">
        <f>IF(OR(F253="",K253=0),0,MAX(0,TODAY()-F253))</f>
        <v/>
      </c>
      <c r="Q253" s="24">
        <f>IF(OR(L253="Paid",L253="Cancelled",F253=""),"",IF(F253&lt;TODAY(),"OVERDUE",IF(F253&lt;=TODAY()+'Setup &amp; Lists'!$M$7,"DUE SOON","")))</f>
        <v/>
      </c>
      <c r="R253" s="18" t="n"/>
    </row>
    <row r="254">
      <c r="A254" s="19" t="n"/>
      <c r="B254" s="18" t="n"/>
      <c r="C254" s="19" t="n"/>
      <c r="D254" s="19" t="n"/>
      <c r="E254" s="20" t="n"/>
      <c r="F254" s="20" t="n"/>
      <c r="G254" s="19" t="n"/>
      <c r="H254" s="19" t="n"/>
      <c r="I254" s="21" t="n"/>
      <c r="J254" s="21" t="n"/>
      <c r="K254" s="22">
        <f>IF(I254="","",MAX(0,I254-J254))</f>
        <v/>
      </c>
      <c r="L254" s="19" t="n"/>
      <c r="M254" s="18" t="n"/>
      <c r="N254" s="19" t="n"/>
      <c r="O254" s="24">
        <f>IF(OR(C254="",D254=""),"",C254&amp;"|"&amp;D254&amp;"|"&amp;TEXT(I254,"0.00"))</f>
        <v/>
      </c>
      <c r="P254" s="24">
        <f>IF(OR(F254="",K254=0),0,MAX(0,TODAY()-F254))</f>
        <v/>
      </c>
      <c r="Q254" s="24">
        <f>IF(OR(L254="Paid",L254="Cancelled",F254=""),"",IF(F254&lt;TODAY(),"OVERDUE",IF(F254&lt;=TODAY()+'Setup &amp; Lists'!$M$7,"DUE SOON","")))</f>
        <v/>
      </c>
      <c r="R254" s="18" t="n"/>
    </row>
    <row r="255">
      <c r="A255" s="19" t="n"/>
      <c r="B255" s="18" t="n"/>
      <c r="C255" s="19" t="n"/>
      <c r="D255" s="19" t="n"/>
      <c r="E255" s="20" t="n"/>
      <c r="F255" s="20" t="n"/>
      <c r="G255" s="19" t="n"/>
      <c r="H255" s="19" t="n"/>
      <c r="I255" s="21" t="n"/>
      <c r="J255" s="21" t="n"/>
      <c r="K255" s="22">
        <f>IF(I255="","",MAX(0,I255-J255))</f>
        <v/>
      </c>
      <c r="L255" s="19" t="n"/>
      <c r="M255" s="18" t="n"/>
      <c r="N255" s="19" t="n"/>
      <c r="O255" s="24">
        <f>IF(OR(C255="",D255=""),"",C255&amp;"|"&amp;D255&amp;"|"&amp;TEXT(I255,"0.00"))</f>
        <v/>
      </c>
      <c r="P255" s="24">
        <f>IF(OR(F255="",K255=0),0,MAX(0,TODAY()-F255))</f>
        <v/>
      </c>
      <c r="Q255" s="24">
        <f>IF(OR(L255="Paid",L255="Cancelled",F255=""),"",IF(F255&lt;TODAY(),"OVERDUE",IF(F255&lt;=TODAY()+'Setup &amp; Lists'!$M$7,"DUE SOON","")))</f>
        <v/>
      </c>
      <c r="R255" s="18" t="n"/>
    </row>
    <row r="256">
      <c r="A256" s="19" t="n"/>
      <c r="B256" s="18" t="n"/>
      <c r="C256" s="19" t="n"/>
      <c r="D256" s="19" t="n"/>
      <c r="E256" s="20" t="n"/>
      <c r="F256" s="20" t="n"/>
      <c r="G256" s="19" t="n"/>
      <c r="H256" s="19" t="n"/>
      <c r="I256" s="21" t="n"/>
      <c r="J256" s="21" t="n"/>
      <c r="K256" s="22">
        <f>IF(I256="","",MAX(0,I256-J256))</f>
        <v/>
      </c>
      <c r="L256" s="19" t="n"/>
      <c r="M256" s="18" t="n"/>
      <c r="N256" s="19" t="n"/>
      <c r="O256" s="24">
        <f>IF(OR(C256="",D256=""),"",C256&amp;"|"&amp;D256&amp;"|"&amp;TEXT(I256,"0.00"))</f>
        <v/>
      </c>
      <c r="P256" s="24">
        <f>IF(OR(F256="",K256=0),0,MAX(0,TODAY()-F256))</f>
        <v/>
      </c>
      <c r="Q256" s="24">
        <f>IF(OR(L256="Paid",L256="Cancelled",F256=""),"",IF(F256&lt;TODAY(),"OVERDUE",IF(F256&lt;=TODAY()+'Setup &amp; Lists'!$M$7,"DUE SOON","")))</f>
        <v/>
      </c>
      <c r="R256" s="18" t="n"/>
    </row>
    <row r="257">
      <c r="A257" s="19" t="n"/>
      <c r="B257" s="18" t="n"/>
      <c r="C257" s="19" t="n"/>
      <c r="D257" s="19" t="n"/>
      <c r="E257" s="20" t="n"/>
      <c r="F257" s="20" t="n"/>
      <c r="G257" s="19" t="n"/>
      <c r="H257" s="19" t="n"/>
      <c r="I257" s="21" t="n"/>
      <c r="J257" s="21" t="n"/>
      <c r="K257" s="22">
        <f>IF(I257="","",MAX(0,I257-J257))</f>
        <v/>
      </c>
      <c r="L257" s="19" t="n"/>
      <c r="M257" s="18" t="n"/>
      <c r="N257" s="19" t="n"/>
      <c r="O257" s="24">
        <f>IF(OR(C257="",D257=""),"",C257&amp;"|"&amp;D257&amp;"|"&amp;TEXT(I257,"0.00"))</f>
        <v/>
      </c>
      <c r="P257" s="24">
        <f>IF(OR(F257="",K257=0),0,MAX(0,TODAY()-F257))</f>
        <v/>
      </c>
      <c r="Q257" s="24">
        <f>IF(OR(L257="Paid",L257="Cancelled",F257=""),"",IF(F257&lt;TODAY(),"OVERDUE",IF(F257&lt;=TODAY()+'Setup &amp; Lists'!$M$7,"DUE SOON","")))</f>
        <v/>
      </c>
      <c r="R257" s="18" t="n"/>
    </row>
    <row r="258">
      <c r="A258" s="19" t="n"/>
      <c r="B258" s="18" t="n"/>
      <c r="C258" s="19" t="n"/>
      <c r="D258" s="19" t="n"/>
      <c r="E258" s="20" t="n"/>
      <c r="F258" s="20" t="n"/>
      <c r="G258" s="19" t="n"/>
      <c r="H258" s="19" t="n"/>
      <c r="I258" s="21" t="n"/>
      <c r="J258" s="21" t="n"/>
      <c r="K258" s="22">
        <f>IF(I258="","",MAX(0,I258-J258))</f>
        <v/>
      </c>
      <c r="L258" s="19" t="n"/>
      <c r="M258" s="18" t="n"/>
      <c r="N258" s="19" t="n"/>
      <c r="O258" s="24">
        <f>IF(OR(C258="",D258=""),"",C258&amp;"|"&amp;D258&amp;"|"&amp;TEXT(I258,"0.00"))</f>
        <v/>
      </c>
      <c r="P258" s="24">
        <f>IF(OR(F258="",K258=0),0,MAX(0,TODAY()-F258))</f>
        <v/>
      </c>
      <c r="Q258" s="24">
        <f>IF(OR(L258="Paid",L258="Cancelled",F258=""),"",IF(F258&lt;TODAY(),"OVERDUE",IF(F258&lt;=TODAY()+'Setup &amp; Lists'!$M$7,"DUE SOON","")))</f>
        <v/>
      </c>
      <c r="R258" s="18" t="n"/>
    </row>
    <row r="259">
      <c r="A259" s="19" t="n"/>
      <c r="B259" s="18" t="n"/>
      <c r="C259" s="19" t="n"/>
      <c r="D259" s="19" t="n"/>
      <c r="E259" s="20" t="n"/>
      <c r="F259" s="20" t="n"/>
      <c r="G259" s="19" t="n"/>
      <c r="H259" s="19" t="n"/>
      <c r="I259" s="21" t="n"/>
      <c r="J259" s="21" t="n"/>
      <c r="K259" s="22">
        <f>IF(I259="","",MAX(0,I259-J259))</f>
        <v/>
      </c>
      <c r="L259" s="19" t="n"/>
      <c r="M259" s="18" t="n"/>
      <c r="N259" s="19" t="n"/>
      <c r="O259" s="24">
        <f>IF(OR(C259="",D259=""),"",C259&amp;"|"&amp;D259&amp;"|"&amp;TEXT(I259,"0.00"))</f>
        <v/>
      </c>
      <c r="P259" s="24">
        <f>IF(OR(F259="",K259=0),0,MAX(0,TODAY()-F259))</f>
        <v/>
      </c>
      <c r="Q259" s="24">
        <f>IF(OR(L259="Paid",L259="Cancelled",F259=""),"",IF(F259&lt;TODAY(),"OVERDUE",IF(F259&lt;=TODAY()+'Setup &amp; Lists'!$M$7,"DUE SOON","")))</f>
        <v/>
      </c>
      <c r="R259" s="18" t="n"/>
    </row>
    <row r="260">
      <c r="A260" s="19" t="n"/>
      <c r="B260" s="18" t="n"/>
      <c r="C260" s="19" t="n"/>
      <c r="D260" s="19" t="n"/>
      <c r="E260" s="20" t="n"/>
      <c r="F260" s="20" t="n"/>
      <c r="G260" s="19" t="n"/>
      <c r="H260" s="19" t="n"/>
      <c r="I260" s="21" t="n"/>
      <c r="J260" s="21" t="n"/>
      <c r="K260" s="22">
        <f>IF(I260="","",MAX(0,I260-J260))</f>
        <v/>
      </c>
      <c r="L260" s="19" t="n"/>
      <c r="M260" s="18" t="n"/>
      <c r="N260" s="19" t="n"/>
      <c r="O260" s="24">
        <f>IF(OR(C260="",D260=""),"",C260&amp;"|"&amp;D260&amp;"|"&amp;TEXT(I260,"0.00"))</f>
        <v/>
      </c>
      <c r="P260" s="24">
        <f>IF(OR(F260="",K260=0),0,MAX(0,TODAY()-F260))</f>
        <v/>
      </c>
      <c r="Q260" s="24">
        <f>IF(OR(L260="Paid",L260="Cancelled",F260=""),"",IF(F260&lt;TODAY(),"OVERDUE",IF(F260&lt;=TODAY()+'Setup &amp; Lists'!$M$7,"DUE SOON","")))</f>
        <v/>
      </c>
      <c r="R260" s="18" t="n"/>
    </row>
    <row r="261">
      <c r="A261" s="19" t="n"/>
      <c r="B261" s="18" t="n"/>
      <c r="C261" s="19" t="n"/>
      <c r="D261" s="19" t="n"/>
      <c r="E261" s="20" t="n"/>
      <c r="F261" s="20" t="n"/>
      <c r="G261" s="19" t="n"/>
      <c r="H261" s="19" t="n"/>
      <c r="I261" s="21" t="n"/>
      <c r="J261" s="21" t="n"/>
      <c r="K261" s="22">
        <f>IF(I261="","",MAX(0,I261-J261))</f>
        <v/>
      </c>
      <c r="L261" s="19" t="n"/>
      <c r="M261" s="18" t="n"/>
      <c r="N261" s="19" t="n"/>
      <c r="O261" s="24">
        <f>IF(OR(C261="",D261=""),"",C261&amp;"|"&amp;D261&amp;"|"&amp;TEXT(I261,"0.00"))</f>
        <v/>
      </c>
      <c r="P261" s="24">
        <f>IF(OR(F261="",K261=0),0,MAX(0,TODAY()-F261))</f>
        <v/>
      </c>
      <c r="Q261" s="24">
        <f>IF(OR(L261="Paid",L261="Cancelled",F261=""),"",IF(F261&lt;TODAY(),"OVERDUE",IF(F261&lt;=TODAY()+'Setup &amp; Lists'!$M$7,"DUE SOON","")))</f>
        <v/>
      </c>
      <c r="R261" s="18" t="n"/>
    </row>
    <row r="262">
      <c r="A262" s="19" t="n"/>
      <c r="B262" s="18" t="n"/>
      <c r="C262" s="19" t="n"/>
      <c r="D262" s="19" t="n"/>
      <c r="E262" s="20" t="n"/>
      <c r="F262" s="20" t="n"/>
      <c r="G262" s="19" t="n"/>
      <c r="H262" s="19" t="n"/>
      <c r="I262" s="21" t="n"/>
      <c r="J262" s="21" t="n"/>
      <c r="K262" s="22">
        <f>IF(I262="","",MAX(0,I262-J262))</f>
        <v/>
      </c>
      <c r="L262" s="19" t="n"/>
      <c r="M262" s="18" t="n"/>
      <c r="N262" s="19" t="n"/>
      <c r="O262" s="24">
        <f>IF(OR(C262="",D262=""),"",C262&amp;"|"&amp;D262&amp;"|"&amp;TEXT(I262,"0.00"))</f>
        <v/>
      </c>
      <c r="P262" s="24">
        <f>IF(OR(F262="",K262=0),0,MAX(0,TODAY()-F262))</f>
        <v/>
      </c>
      <c r="Q262" s="24">
        <f>IF(OR(L262="Paid",L262="Cancelled",F262=""),"",IF(F262&lt;TODAY(),"OVERDUE",IF(F262&lt;=TODAY()+'Setup &amp; Lists'!$M$7,"DUE SOON","")))</f>
        <v/>
      </c>
      <c r="R262" s="18" t="n"/>
    </row>
    <row r="263">
      <c r="A263" s="19" t="n"/>
      <c r="B263" s="18" t="n"/>
      <c r="C263" s="19" t="n"/>
      <c r="D263" s="19" t="n"/>
      <c r="E263" s="20" t="n"/>
      <c r="F263" s="20" t="n"/>
      <c r="G263" s="19" t="n"/>
      <c r="H263" s="19" t="n"/>
      <c r="I263" s="21" t="n"/>
      <c r="J263" s="21" t="n"/>
      <c r="K263" s="22">
        <f>IF(I263="","",MAX(0,I263-J263))</f>
        <v/>
      </c>
      <c r="L263" s="19" t="n"/>
      <c r="M263" s="18" t="n"/>
      <c r="N263" s="19" t="n"/>
      <c r="O263" s="24">
        <f>IF(OR(C263="",D263=""),"",C263&amp;"|"&amp;D263&amp;"|"&amp;TEXT(I263,"0.00"))</f>
        <v/>
      </c>
      <c r="P263" s="24">
        <f>IF(OR(F263="",K263=0),0,MAX(0,TODAY()-F263))</f>
        <v/>
      </c>
      <c r="Q263" s="24">
        <f>IF(OR(L263="Paid",L263="Cancelled",F263=""),"",IF(F263&lt;TODAY(),"OVERDUE",IF(F263&lt;=TODAY()+'Setup &amp; Lists'!$M$7,"DUE SOON","")))</f>
        <v/>
      </c>
      <c r="R263" s="18" t="n"/>
    </row>
    <row r="264">
      <c r="A264" s="19" t="n"/>
      <c r="B264" s="18" t="n"/>
      <c r="C264" s="19" t="n"/>
      <c r="D264" s="19" t="n"/>
      <c r="E264" s="20" t="n"/>
      <c r="F264" s="20" t="n"/>
      <c r="G264" s="19" t="n"/>
      <c r="H264" s="19" t="n"/>
      <c r="I264" s="21" t="n"/>
      <c r="J264" s="21" t="n"/>
      <c r="K264" s="22">
        <f>IF(I264="","",MAX(0,I264-J264))</f>
        <v/>
      </c>
      <c r="L264" s="19" t="n"/>
      <c r="M264" s="18" t="n"/>
      <c r="N264" s="19" t="n"/>
      <c r="O264" s="24">
        <f>IF(OR(C264="",D264=""),"",C264&amp;"|"&amp;D264&amp;"|"&amp;TEXT(I264,"0.00"))</f>
        <v/>
      </c>
      <c r="P264" s="24">
        <f>IF(OR(F264="",K264=0),0,MAX(0,TODAY()-F264))</f>
        <v/>
      </c>
      <c r="Q264" s="24">
        <f>IF(OR(L264="Paid",L264="Cancelled",F264=""),"",IF(F264&lt;TODAY(),"OVERDUE",IF(F264&lt;=TODAY()+'Setup &amp; Lists'!$M$7,"DUE SOON","")))</f>
        <v/>
      </c>
      <c r="R264" s="18" t="n"/>
    </row>
    <row r="265">
      <c r="A265" s="19" t="n"/>
      <c r="B265" s="18" t="n"/>
      <c r="C265" s="19" t="n"/>
      <c r="D265" s="19" t="n"/>
      <c r="E265" s="20" t="n"/>
      <c r="F265" s="20" t="n"/>
      <c r="G265" s="19" t="n"/>
      <c r="H265" s="19" t="n"/>
      <c r="I265" s="21" t="n"/>
      <c r="J265" s="21" t="n"/>
      <c r="K265" s="22">
        <f>IF(I265="","",MAX(0,I265-J265))</f>
        <v/>
      </c>
      <c r="L265" s="19" t="n"/>
      <c r="M265" s="18" t="n"/>
      <c r="N265" s="19" t="n"/>
      <c r="O265" s="24">
        <f>IF(OR(C265="",D265=""),"",C265&amp;"|"&amp;D265&amp;"|"&amp;TEXT(I265,"0.00"))</f>
        <v/>
      </c>
      <c r="P265" s="24">
        <f>IF(OR(F265="",K265=0),0,MAX(0,TODAY()-F265))</f>
        <v/>
      </c>
      <c r="Q265" s="24">
        <f>IF(OR(L265="Paid",L265="Cancelled",F265=""),"",IF(F265&lt;TODAY(),"OVERDUE",IF(F265&lt;=TODAY()+'Setup &amp; Lists'!$M$7,"DUE SOON","")))</f>
        <v/>
      </c>
      <c r="R265" s="18" t="n"/>
    </row>
    <row r="266">
      <c r="A266" s="19" t="n"/>
      <c r="B266" s="18" t="n"/>
      <c r="C266" s="19" t="n"/>
      <c r="D266" s="19" t="n"/>
      <c r="E266" s="20" t="n"/>
      <c r="F266" s="20" t="n"/>
      <c r="G266" s="19" t="n"/>
      <c r="H266" s="19" t="n"/>
      <c r="I266" s="21" t="n"/>
      <c r="J266" s="21" t="n"/>
      <c r="K266" s="22">
        <f>IF(I266="","",MAX(0,I266-J266))</f>
        <v/>
      </c>
      <c r="L266" s="19" t="n"/>
      <c r="M266" s="18" t="n"/>
      <c r="N266" s="19" t="n"/>
      <c r="O266" s="24">
        <f>IF(OR(C266="",D266=""),"",C266&amp;"|"&amp;D266&amp;"|"&amp;TEXT(I266,"0.00"))</f>
        <v/>
      </c>
      <c r="P266" s="24">
        <f>IF(OR(F266="",K266=0),0,MAX(0,TODAY()-F266))</f>
        <v/>
      </c>
      <c r="Q266" s="24">
        <f>IF(OR(L266="Paid",L266="Cancelled",F266=""),"",IF(F266&lt;TODAY(),"OVERDUE",IF(F266&lt;=TODAY()+'Setup &amp; Lists'!$M$7,"DUE SOON","")))</f>
        <v/>
      </c>
      <c r="R266" s="18" t="n"/>
    </row>
    <row r="267">
      <c r="A267" s="19" t="n"/>
      <c r="B267" s="18" t="n"/>
      <c r="C267" s="19" t="n"/>
      <c r="D267" s="19" t="n"/>
      <c r="E267" s="20" t="n"/>
      <c r="F267" s="20" t="n"/>
      <c r="G267" s="19" t="n"/>
      <c r="H267" s="19" t="n"/>
      <c r="I267" s="21" t="n"/>
      <c r="J267" s="21" t="n"/>
      <c r="K267" s="22">
        <f>IF(I267="","",MAX(0,I267-J267))</f>
        <v/>
      </c>
      <c r="L267" s="19" t="n"/>
      <c r="M267" s="18" t="n"/>
      <c r="N267" s="19" t="n"/>
      <c r="O267" s="24">
        <f>IF(OR(C267="",D267=""),"",C267&amp;"|"&amp;D267&amp;"|"&amp;TEXT(I267,"0.00"))</f>
        <v/>
      </c>
      <c r="P267" s="24">
        <f>IF(OR(F267="",K267=0),0,MAX(0,TODAY()-F267))</f>
        <v/>
      </c>
      <c r="Q267" s="24">
        <f>IF(OR(L267="Paid",L267="Cancelled",F267=""),"",IF(F267&lt;TODAY(),"OVERDUE",IF(F267&lt;=TODAY()+'Setup &amp; Lists'!$M$7,"DUE SOON","")))</f>
        <v/>
      </c>
      <c r="R267" s="18" t="n"/>
    </row>
    <row r="268">
      <c r="A268" s="19" t="n"/>
      <c r="B268" s="18" t="n"/>
      <c r="C268" s="19" t="n"/>
      <c r="D268" s="19" t="n"/>
      <c r="E268" s="20" t="n"/>
      <c r="F268" s="20" t="n"/>
      <c r="G268" s="19" t="n"/>
      <c r="H268" s="19" t="n"/>
      <c r="I268" s="21" t="n"/>
      <c r="J268" s="21" t="n"/>
      <c r="K268" s="22">
        <f>IF(I268="","",MAX(0,I268-J268))</f>
        <v/>
      </c>
      <c r="L268" s="19" t="n"/>
      <c r="M268" s="18" t="n"/>
      <c r="N268" s="19" t="n"/>
      <c r="O268" s="24">
        <f>IF(OR(C268="",D268=""),"",C268&amp;"|"&amp;D268&amp;"|"&amp;TEXT(I268,"0.00"))</f>
        <v/>
      </c>
      <c r="P268" s="24">
        <f>IF(OR(F268="",K268=0),0,MAX(0,TODAY()-F268))</f>
        <v/>
      </c>
      <c r="Q268" s="24">
        <f>IF(OR(L268="Paid",L268="Cancelled",F268=""),"",IF(F268&lt;TODAY(),"OVERDUE",IF(F268&lt;=TODAY()+'Setup &amp; Lists'!$M$7,"DUE SOON","")))</f>
        <v/>
      </c>
      <c r="R268" s="18" t="n"/>
    </row>
    <row r="269">
      <c r="A269" s="19" t="n"/>
      <c r="B269" s="18" t="n"/>
      <c r="C269" s="19" t="n"/>
      <c r="D269" s="19" t="n"/>
      <c r="E269" s="20" t="n"/>
      <c r="F269" s="20" t="n"/>
      <c r="G269" s="19" t="n"/>
      <c r="H269" s="19" t="n"/>
      <c r="I269" s="21" t="n"/>
      <c r="J269" s="21" t="n"/>
      <c r="K269" s="22">
        <f>IF(I269="","",MAX(0,I269-J269))</f>
        <v/>
      </c>
      <c r="L269" s="19" t="n"/>
      <c r="M269" s="18" t="n"/>
      <c r="N269" s="19" t="n"/>
      <c r="O269" s="24">
        <f>IF(OR(C269="",D269=""),"",C269&amp;"|"&amp;D269&amp;"|"&amp;TEXT(I269,"0.00"))</f>
        <v/>
      </c>
      <c r="P269" s="24">
        <f>IF(OR(F269="",K269=0),0,MAX(0,TODAY()-F269))</f>
        <v/>
      </c>
      <c r="Q269" s="24">
        <f>IF(OR(L269="Paid",L269="Cancelled",F269=""),"",IF(F269&lt;TODAY(),"OVERDUE",IF(F269&lt;=TODAY()+'Setup &amp; Lists'!$M$7,"DUE SOON","")))</f>
        <v/>
      </c>
      <c r="R269" s="18" t="n"/>
    </row>
    <row r="270">
      <c r="A270" s="19" t="n"/>
      <c r="B270" s="18" t="n"/>
      <c r="C270" s="19" t="n"/>
      <c r="D270" s="19" t="n"/>
      <c r="E270" s="20" t="n"/>
      <c r="F270" s="20" t="n"/>
      <c r="G270" s="19" t="n"/>
      <c r="H270" s="19" t="n"/>
      <c r="I270" s="21" t="n"/>
      <c r="J270" s="21" t="n"/>
      <c r="K270" s="22">
        <f>IF(I270="","",MAX(0,I270-J270))</f>
        <v/>
      </c>
      <c r="L270" s="19" t="n"/>
      <c r="M270" s="18" t="n"/>
      <c r="N270" s="19" t="n"/>
      <c r="O270" s="24">
        <f>IF(OR(C270="",D270=""),"",C270&amp;"|"&amp;D270&amp;"|"&amp;TEXT(I270,"0.00"))</f>
        <v/>
      </c>
      <c r="P270" s="24">
        <f>IF(OR(F270="",K270=0),0,MAX(0,TODAY()-F270))</f>
        <v/>
      </c>
      <c r="Q270" s="24">
        <f>IF(OR(L270="Paid",L270="Cancelled",F270=""),"",IF(F270&lt;TODAY(),"OVERDUE",IF(F270&lt;=TODAY()+'Setup &amp; Lists'!$M$7,"DUE SOON","")))</f>
        <v/>
      </c>
      <c r="R270" s="18" t="n"/>
    </row>
    <row r="271">
      <c r="A271" s="19" t="n"/>
      <c r="B271" s="18" t="n"/>
      <c r="C271" s="19" t="n"/>
      <c r="D271" s="19" t="n"/>
      <c r="E271" s="20" t="n"/>
      <c r="F271" s="20" t="n"/>
      <c r="G271" s="19" t="n"/>
      <c r="H271" s="19" t="n"/>
      <c r="I271" s="21" t="n"/>
      <c r="J271" s="21" t="n"/>
      <c r="K271" s="22">
        <f>IF(I271="","",MAX(0,I271-J271))</f>
        <v/>
      </c>
      <c r="L271" s="19" t="n"/>
      <c r="M271" s="18" t="n"/>
      <c r="N271" s="19" t="n"/>
      <c r="O271" s="24">
        <f>IF(OR(C271="",D271=""),"",C271&amp;"|"&amp;D271&amp;"|"&amp;TEXT(I271,"0.00"))</f>
        <v/>
      </c>
      <c r="P271" s="24">
        <f>IF(OR(F271="",K271=0),0,MAX(0,TODAY()-F271))</f>
        <v/>
      </c>
      <c r="Q271" s="24">
        <f>IF(OR(L271="Paid",L271="Cancelled",F271=""),"",IF(F271&lt;TODAY(),"OVERDUE",IF(F271&lt;=TODAY()+'Setup &amp; Lists'!$M$7,"DUE SOON","")))</f>
        <v/>
      </c>
      <c r="R271" s="18" t="n"/>
    </row>
    <row r="272">
      <c r="A272" s="19" t="n"/>
      <c r="B272" s="18" t="n"/>
      <c r="C272" s="19" t="n"/>
      <c r="D272" s="19" t="n"/>
      <c r="E272" s="20" t="n"/>
      <c r="F272" s="20" t="n"/>
      <c r="G272" s="19" t="n"/>
      <c r="H272" s="19" t="n"/>
      <c r="I272" s="21" t="n"/>
      <c r="J272" s="21" t="n"/>
      <c r="K272" s="22">
        <f>IF(I272="","",MAX(0,I272-J272))</f>
        <v/>
      </c>
      <c r="L272" s="19" t="n"/>
      <c r="M272" s="18" t="n"/>
      <c r="N272" s="19" t="n"/>
      <c r="O272" s="24">
        <f>IF(OR(C272="",D272=""),"",C272&amp;"|"&amp;D272&amp;"|"&amp;TEXT(I272,"0.00"))</f>
        <v/>
      </c>
      <c r="P272" s="24">
        <f>IF(OR(F272="",K272=0),0,MAX(0,TODAY()-F272))</f>
        <v/>
      </c>
      <c r="Q272" s="24">
        <f>IF(OR(L272="Paid",L272="Cancelled",F272=""),"",IF(F272&lt;TODAY(),"OVERDUE",IF(F272&lt;=TODAY()+'Setup &amp; Lists'!$M$7,"DUE SOON","")))</f>
        <v/>
      </c>
      <c r="R272" s="18" t="n"/>
    </row>
    <row r="273">
      <c r="A273" s="19" t="n"/>
      <c r="B273" s="18" t="n"/>
      <c r="C273" s="19" t="n"/>
      <c r="D273" s="19" t="n"/>
      <c r="E273" s="20" t="n"/>
      <c r="F273" s="20" t="n"/>
      <c r="G273" s="19" t="n"/>
      <c r="H273" s="19" t="n"/>
      <c r="I273" s="21" t="n"/>
      <c r="J273" s="21" t="n"/>
      <c r="K273" s="22">
        <f>IF(I273="","",MAX(0,I273-J273))</f>
        <v/>
      </c>
      <c r="L273" s="19" t="n"/>
      <c r="M273" s="18" t="n"/>
      <c r="N273" s="19" t="n"/>
      <c r="O273" s="24">
        <f>IF(OR(C273="",D273=""),"",C273&amp;"|"&amp;D273&amp;"|"&amp;TEXT(I273,"0.00"))</f>
        <v/>
      </c>
      <c r="P273" s="24">
        <f>IF(OR(F273="",K273=0),0,MAX(0,TODAY()-F273))</f>
        <v/>
      </c>
      <c r="Q273" s="24">
        <f>IF(OR(L273="Paid",L273="Cancelled",F273=""),"",IF(F273&lt;TODAY(),"OVERDUE",IF(F273&lt;=TODAY()+'Setup &amp; Lists'!$M$7,"DUE SOON","")))</f>
        <v/>
      </c>
      <c r="R273" s="18" t="n"/>
    </row>
    <row r="274">
      <c r="A274" s="19" t="n"/>
      <c r="B274" s="18" t="n"/>
      <c r="C274" s="19" t="n"/>
      <c r="D274" s="19" t="n"/>
      <c r="E274" s="20" t="n"/>
      <c r="F274" s="20" t="n"/>
      <c r="G274" s="19" t="n"/>
      <c r="H274" s="19" t="n"/>
      <c r="I274" s="21" t="n"/>
      <c r="J274" s="21" t="n"/>
      <c r="K274" s="22">
        <f>IF(I274="","",MAX(0,I274-J274))</f>
        <v/>
      </c>
      <c r="L274" s="19" t="n"/>
      <c r="M274" s="18" t="n"/>
      <c r="N274" s="19" t="n"/>
      <c r="O274" s="24">
        <f>IF(OR(C274="",D274=""),"",C274&amp;"|"&amp;D274&amp;"|"&amp;TEXT(I274,"0.00"))</f>
        <v/>
      </c>
      <c r="P274" s="24">
        <f>IF(OR(F274="",K274=0),0,MAX(0,TODAY()-F274))</f>
        <v/>
      </c>
      <c r="Q274" s="24">
        <f>IF(OR(L274="Paid",L274="Cancelled",F274=""),"",IF(F274&lt;TODAY(),"OVERDUE",IF(F274&lt;=TODAY()+'Setup &amp; Lists'!$M$7,"DUE SOON","")))</f>
        <v/>
      </c>
      <c r="R274" s="18" t="n"/>
    </row>
    <row r="275">
      <c r="A275" s="19" t="n"/>
      <c r="B275" s="18" t="n"/>
      <c r="C275" s="19" t="n"/>
      <c r="D275" s="19" t="n"/>
      <c r="E275" s="20" t="n"/>
      <c r="F275" s="20" t="n"/>
      <c r="G275" s="19" t="n"/>
      <c r="H275" s="19" t="n"/>
      <c r="I275" s="21" t="n"/>
      <c r="J275" s="21" t="n"/>
      <c r="K275" s="22">
        <f>IF(I275="","",MAX(0,I275-J275))</f>
        <v/>
      </c>
      <c r="L275" s="19" t="n"/>
      <c r="M275" s="18" t="n"/>
      <c r="N275" s="19" t="n"/>
      <c r="O275" s="24">
        <f>IF(OR(C275="",D275=""),"",C275&amp;"|"&amp;D275&amp;"|"&amp;TEXT(I275,"0.00"))</f>
        <v/>
      </c>
      <c r="P275" s="24">
        <f>IF(OR(F275="",K275=0),0,MAX(0,TODAY()-F275))</f>
        <v/>
      </c>
      <c r="Q275" s="24">
        <f>IF(OR(L275="Paid",L275="Cancelled",F275=""),"",IF(F275&lt;TODAY(),"OVERDUE",IF(F275&lt;=TODAY()+'Setup &amp; Lists'!$M$7,"DUE SOON","")))</f>
        <v/>
      </c>
      <c r="R275" s="18" t="n"/>
    </row>
    <row r="276">
      <c r="A276" s="19" t="n"/>
      <c r="B276" s="18" t="n"/>
      <c r="C276" s="19" t="n"/>
      <c r="D276" s="19" t="n"/>
      <c r="E276" s="20" t="n"/>
      <c r="F276" s="20" t="n"/>
      <c r="G276" s="19" t="n"/>
      <c r="H276" s="19" t="n"/>
      <c r="I276" s="21" t="n"/>
      <c r="J276" s="21" t="n"/>
      <c r="K276" s="22">
        <f>IF(I276="","",MAX(0,I276-J276))</f>
        <v/>
      </c>
      <c r="L276" s="19" t="n"/>
      <c r="M276" s="18" t="n"/>
      <c r="N276" s="19" t="n"/>
      <c r="O276" s="24">
        <f>IF(OR(C276="",D276=""),"",C276&amp;"|"&amp;D276&amp;"|"&amp;TEXT(I276,"0.00"))</f>
        <v/>
      </c>
      <c r="P276" s="24">
        <f>IF(OR(F276="",K276=0),0,MAX(0,TODAY()-F276))</f>
        <v/>
      </c>
      <c r="Q276" s="24">
        <f>IF(OR(L276="Paid",L276="Cancelled",F276=""),"",IF(F276&lt;TODAY(),"OVERDUE",IF(F276&lt;=TODAY()+'Setup &amp; Lists'!$M$7,"DUE SOON","")))</f>
        <v/>
      </c>
      <c r="R276" s="18" t="n"/>
    </row>
    <row r="277">
      <c r="A277" s="19" t="n"/>
      <c r="B277" s="18" t="n"/>
      <c r="C277" s="19" t="n"/>
      <c r="D277" s="19" t="n"/>
      <c r="E277" s="20" t="n"/>
      <c r="F277" s="20" t="n"/>
      <c r="G277" s="19" t="n"/>
      <c r="H277" s="19" t="n"/>
      <c r="I277" s="21" t="n"/>
      <c r="J277" s="21" t="n"/>
      <c r="K277" s="22">
        <f>IF(I277="","",MAX(0,I277-J277))</f>
        <v/>
      </c>
      <c r="L277" s="19" t="n"/>
      <c r="M277" s="18" t="n"/>
      <c r="N277" s="19" t="n"/>
      <c r="O277" s="24">
        <f>IF(OR(C277="",D277=""),"",C277&amp;"|"&amp;D277&amp;"|"&amp;TEXT(I277,"0.00"))</f>
        <v/>
      </c>
      <c r="P277" s="24">
        <f>IF(OR(F277="",K277=0),0,MAX(0,TODAY()-F277))</f>
        <v/>
      </c>
      <c r="Q277" s="24">
        <f>IF(OR(L277="Paid",L277="Cancelled",F277=""),"",IF(F277&lt;TODAY(),"OVERDUE",IF(F277&lt;=TODAY()+'Setup &amp; Lists'!$M$7,"DUE SOON","")))</f>
        <v/>
      </c>
      <c r="R277" s="18" t="n"/>
    </row>
    <row r="278">
      <c r="A278" s="19" t="n"/>
      <c r="B278" s="18" t="n"/>
      <c r="C278" s="19" t="n"/>
      <c r="D278" s="19" t="n"/>
      <c r="E278" s="20" t="n"/>
      <c r="F278" s="20" t="n"/>
      <c r="G278" s="19" t="n"/>
      <c r="H278" s="19" t="n"/>
      <c r="I278" s="21" t="n"/>
      <c r="J278" s="21" t="n"/>
      <c r="K278" s="22">
        <f>IF(I278="","",MAX(0,I278-J278))</f>
        <v/>
      </c>
      <c r="L278" s="19" t="n"/>
      <c r="M278" s="18" t="n"/>
      <c r="N278" s="19" t="n"/>
      <c r="O278" s="24">
        <f>IF(OR(C278="",D278=""),"",C278&amp;"|"&amp;D278&amp;"|"&amp;TEXT(I278,"0.00"))</f>
        <v/>
      </c>
      <c r="P278" s="24">
        <f>IF(OR(F278="",K278=0),0,MAX(0,TODAY()-F278))</f>
        <v/>
      </c>
      <c r="Q278" s="24">
        <f>IF(OR(L278="Paid",L278="Cancelled",F278=""),"",IF(F278&lt;TODAY(),"OVERDUE",IF(F278&lt;=TODAY()+'Setup &amp; Lists'!$M$7,"DUE SOON","")))</f>
        <v/>
      </c>
      <c r="R278" s="18" t="n"/>
    </row>
    <row r="279">
      <c r="A279" s="19" t="n"/>
      <c r="B279" s="18" t="n"/>
      <c r="C279" s="19" t="n"/>
      <c r="D279" s="19" t="n"/>
      <c r="E279" s="20" t="n"/>
      <c r="F279" s="20" t="n"/>
      <c r="G279" s="19" t="n"/>
      <c r="H279" s="19" t="n"/>
      <c r="I279" s="21" t="n"/>
      <c r="J279" s="21" t="n"/>
      <c r="K279" s="22">
        <f>IF(I279="","",MAX(0,I279-J279))</f>
        <v/>
      </c>
      <c r="L279" s="19" t="n"/>
      <c r="M279" s="18" t="n"/>
      <c r="N279" s="19" t="n"/>
      <c r="O279" s="24">
        <f>IF(OR(C279="",D279=""),"",C279&amp;"|"&amp;D279&amp;"|"&amp;TEXT(I279,"0.00"))</f>
        <v/>
      </c>
      <c r="P279" s="24">
        <f>IF(OR(F279="",K279=0),0,MAX(0,TODAY()-F279))</f>
        <v/>
      </c>
      <c r="Q279" s="24">
        <f>IF(OR(L279="Paid",L279="Cancelled",F279=""),"",IF(F279&lt;TODAY(),"OVERDUE",IF(F279&lt;=TODAY()+'Setup &amp; Lists'!$M$7,"DUE SOON","")))</f>
        <v/>
      </c>
      <c r="R279" s="18" t="n"/>
    </row>
    <row r="280">
      <c r="A280" s="19" t="n"/>
      <c r="B280" s="18" t="n"/>
      <c r="C280" s="19" t="n"/>
      <c r="D280" s="19" t="n"/>
      <c r="E280" s="20" t="n"/>
      <c r="F280" s="20" t="n"/>
      <c r="G280" s="19" t="n"/>
      <c r="H280" s="19" t="n"/>
      <c r="I280" s="21" t="n"/>
      <c r="J280" s="21" t="n"/>
      <c r="K280" s="22">
        <f>IF(I280="","",MAX(0,I280-J280))</f>
        <v/>
      </c>
      <c r="L280" s="19" t="n"/>
      <c r="M280" s="18" t="n"/>
      <c r="N280" s="19" t="n"/>
      <c r="O280" s="24">
        <f>IF(OR(C280="",D280=""),"",C280&amp;"|"&amp;D280&amp;"|"&amp;TEXT(I280,"0.00"))</f>
        <v/>
      </c>
      <c r="P280" s="24">
        <f>IF(OR(F280="",K280=0),0,MAX(0,TODAY()-F280))</f>
        <v/>
      </c>
      <c r="Q280" s="24">
        <f>IF(OR(L280="Paid",L280="Cancelled",F280=""),"",IF(F280&lt;TODAY(),"OVERDUE",IF(F280&lt;=TODAY()+'Setup &amp; Lists'!$M$7,"DUE SOON","")))</f>
        <v/>
      </c>
      <c r="R280" s="18" t="n"/>
    </row>
    <row r="281">
      <c r="A281" s="19" t="n"/>
      <c r="B281" s="18" t="n"/>
      <c r="C281" s="19" t="n"/>
      <c r="D281" s="19" t="n"/>
      <c r="E281" s="20" t="n"/>
      <c r="F281" s="20" t="n"/>
      <c r="G281" s="19" t="n"/>
      <c r="H281" s="19" t="n"/>
      <c r="I281" s="21" t="n"/>
      <c r="J281" s="21" t="n"/>
      <c r="K281" s="22">
        <f>IF(I281="","",MAX(0,I281-J281))</f>
        <v/>
      </c>
      <c r="L281" s="19" t="n"/>
      <c r="M281" s="18" t="n"/>
      <c r="N281" s="19" t="n"/>
      <c r="O281" s="24">
        <f>IF(OR(C281="",D281=""),"",C281&amp;"|"&amp;D281&amp;"|"&amp;TEXT(I281,"0.00"))</f>
        <v/>
      </c>
      <c r="P281" s="24">
        <f>IF(OR(F281="",K281=0),0,MAX(0,TODAY()-F281))</f>
        <v/>
      </c>
      <c r="Q281" s="24">
        <f>IF(OR(L281="Paid",L281="Cancelled",F281=""),"",IF(F281&lt;TODAY(),"OVERDUE",IF(F281&lt;=TODAY()+'Setup &amp; Lists'!$M$7,"DUE SOON","")))</f>
        <v/>
      </c>
      <c r="R281" s="18" t="n"/>
    </row>
    <row r="282">
      <c r="A282" s="19" t="n"/>
      <c r="B282" s="18" t="n"/>
      <c r="C282" s="19" t="n"/>
      <c r="D282" s="19" t="n"/>
      <c r="E282" s="20" t="n"/>
      <c r="F282" s="20" t="n"/>
      <c r="G282" s="19" t="n"/>
      <c r="H282" s="19" t="n"/>
      <c r="I282" s="21" t="n"/>
      <c r="J282" s="21" t="n"/>
      <c r="K282" s="22">
        <f>IF(I282="","",MAX(0,I282-J282))</f>
        <v/>
      </c>
      <c r="L282" s="19" t="n"/>
      <c r="M282" s="18" t="n"/>
      <c r="N282" s="19" t="n"/>
      <c r="O282" s="24">
        <f>IF(OR(C282="",D282=""),"",C282&amp;"|"&amp;D282&amp;"|"&amp;TEXT(I282,"0.00"))</f>
        <v/>
      </c>
      <c r="P282" s="24">
        <f>IF(OR(F282="",K282=0),0,MAX(0,TODAY()-F282))</f>
        <v/>
      </c>
      <c r="Q282" s="24">
        <f>IF(OR(L282="Paid",L282="Cancelled",F282=""),"",IF(F282&lt;TODAY(),"OVERDUE",IF(F282&lt;=TODAY()+'Setup &amp; Lists'!$M$7,"DUE SOON","")))</f>
        <v/>
      </c>
      <c r="R282" s="18" t="n"/>
    </row>
    <row r="283">
      <c r="A283" s="19" t="n"/>
      <c r="B283" s="18" t="n"/>
      <c r="C283" s="19" t="n"/>
      <c r="D283" s="19" t="n"/>
      <c r="E283" s="20" t="n"/>
      <c r="F283" s="20" t="n"/>
      <c r="G283" s="19" t="n"/>
      <c r="H283" s="19" t="n"/>
      <c r="I283" s="21" t="n"/>
      <c r="J283" s="21" t="n"/>
      <c r="K283" s="22">
        <f>IF(I283="","",MAX(0,I283-J283))</f>
        <v/>
      </c>
      <c r="L283" s="19" t="n"/>
      <c r="M283" s="18" t="n"/>
      <c r="N283" s="19" t="n"/>
      <c r="O283" s="24">
        <f>IF(OR(C283="",D283=""),"",C283&amp;"|"&amp;D283&amp;"|"&amp;TEXT(I283,"0.00"))</f>
        <v/>
      </c>
      <c r="P283" s="24">
        <f>IF(OR(F283="",K283=0),0,MAX(0,TODAY()-F283))</f>
        <v/>
      </c>
      <c r="Q283" s="24">
        <f>IF(OR(L283="Paid",L283="Cancelled",F283=""),"",IF(F283&lt;TODAY(),"OVERDUE",IF(F283&lt;=TODAY()+'Setup &amp; Lists'!$M$7,"DUE SOON","")))</f>
        <v/>
      </c>
      <c r="R283" s="18" t="n"/>
    </row>
    <row r="284">
      <c r="A284" s="19" t="n"/>
      <c r="B284" s="18" t="n"/>
      <c r="C284" s="19" t="n"/>
      <c r="D284" s="19" t="n"/>
      <c r="E284" s="20" t="n"/>
      <c r="F284" s="20" t="n"/>
      <c r="G284" s="19" t="n"/>
      <c r="H284" s="19" t="n"/>
      <c r="I284" s="21" t="n"/>
      <c r="J284" s="21" t="n"/>
      <c r="K284" s="22">
        <f>IF(I284="","",MAX(0,I284-J284))</f>
        <v/>
      </c>
      <c r="L284" s="19" t="n"/>
      <c r="M284" s="18" t="n"/>
      <c r="N284" s="19" t="n"/>
      <c r="O284" s="24">
        <f>IF(OR(C284="",D284=""),"",C284&amp;"|"&amp;D284&amp;"|"&amp;TEXT(I284,"0.00"))</f>
        <v/>
      </c>
      <c r="P284" s="24">
        <f>IF(OR(F284="",K284=0),0,MAX(0,TODAY()-F284))</f>
        <v/>
      </c>
      <c r="Q284" s="24">
        <f>IF(OR(L284="Paid",L284="Cancelled",F284=""),"",IF(F284&lt;TODAY(),"OVERDUE",IF(F284&lt;=TODAY()+'Setup &amp; Lists'!$M$7,"DUE SOON","")))</f>
        <v/>
      </c>
      <c r="R284" s="18" t="n"/>
    </row>
    <row r="285">
      <c r="A285" s="19" t="n"/>
      <c r="B285" s="18" t="n"/>
      <c r="C285" s="19" t="n"/>
      <c r="D285" s="19" t="n"/>
      <c r="E285" s="20" t="n"/>
      <c r="F285" s="20" t="n"/>
      <c r="G285" s="19" t="n"/>
      <c r="H285" s="19" t="n"/>
      <c r="I285" s="21" t="n"/>
      <c r="J285" s="21" t="n"/>
      <c r="K285" s="22">
        <f>IF(I285="","",MAX(0,I285-J285))</f>
        <v/>
      </c>
      <c r="L285" s="19" t="n"/>
      <c r="M285" s="18" t="n"/>
      <c r="N285" s="19" t="n"/>
      <c r="O285" s="24">
        <f>IF(OR(C285="",D285=""),"",C285&amp;"|"&amp;D285&amp;"|"&amp;TEXT(I285,"0.00"))</f>
        <v/>
      </c>
      <c r="P285" s="24">
        <f>IF(OR(F285="",K285=0),0,MAX(0,TODAY()-F285))</f>
        <v/>
      </c>
      <c r="Q285" s="24">
        <f>IF(OR(L285="Paid",L285="Cancelled",F285=""),"",IF(F285&lt;TODAY(),"OVERDUE",IF(F285&lt;=TODAY()+'Setup &amp; Lists'!$M$7,"DUE SOON","")))</f>
        <v/>
      </c>
      <c r="R285" s="18" t="n"/>
    </row>
    <row r="286">
      <c r="A286" s="19" t="n"/>
      <c r="B286" s="18" t="n"/>
      <c r="C286" s="19" t="n"/>
      <c r="D286" s="19" t="n"/>
      <c r="E286" s="20" t="n"/>
      <c r="F286" s="20" t="n"/>
      <c r="G286" s="19" t="n"/>
      <c r="H286" s="19" t="n"/>
      <c r="I286" s="21" t="n"/>
      <c r="J286" s="21" t="n"/>
      <c r="K286" s="22">
        <f>IF(I286="","",MAX(0,I286-J286))</f>
        <v/>
      </c>
      <c r="L286" s="19" t="n"/>
      <c r="M286" s="18" t="n"/>
      <c r="N286" s="19" t="n"/>
      <c r="O286" s="24">
        <f>IF(OR(C286="",D286=""),"",C286&amp;"|"&amp;D286&amp;"|"&amp;TEXT(I286,"0.00"))</f>
        <v/>
      </c>
      <c r="P286" s="24">
        <f>IF(OR(F286="",K286=0),0,MAX(0,TODAY()-F286))</f>
        <v/>
      </c>
      <c r="Q286" s="24">
        <f>IF(OR(L286="Paid",L286="Cancelled",F286=""),"",IF(F286&lt;TODAY(),"OVERDUE",IF(F286&lt;=TODAY()+'Setup &amp; Lists'!$M$7,"DUE SOON","")))</f>
        <v/>
      </c>
      <c r="R286" s="18" t="n"/>
    </row>
    <row r="287">
      <c r="A287" s="19" t="n"/>
      <c r="B287" s="18" t="n"/>
      <c r="C287" s="19" t="n"/>
      <c r="D287" s="19" t="n"/>
      <c r="E287" s="20" t="n"/>
      <c r="F287" s="20" t="n"/>
      <c r="G287" s="19" t="n"/>
      <c r="H287" s="19" t="n"/>
      <c r="I287" s="21" t="n"/>
      <c r="J287" s="21" t="n"/>
      <c r="K287" s="22">
        <f>IF(I287="","",MAX(0,I287-J287))</f>
        <v/>
      </c>
      <c r="L287" s="19" t="n"/>
      <c r="M287" s="18" t="n"/>
      <c r="N287" s="19" t="n"/>
      <c r="O287" s="24">
        <f>IF(OR(C287="",D287=""),"",C287&amp;"|"&amp;D287&amp;"|"&amp;TEXT(I287,"0.00"))</f>
        <v/>
      </c>
      <c r="P287" s="24">
        <f>IF(OR(F287="",K287=0),0,MAX(0,TODAY()-F287))</f>
        <v/>
      </c>
      <c r="Q287" s="24">
        <f>IF(OR(L287="Paid",L287="Cancelled",F287=""),"",IF(F287&lt;TODAY(),"OVERDUE",IF(F287&lt;=TODAY()+'Setup &amp; Lists'!$M$7,"DUE SOON","")))</f>
        <v/>
      </c>
      <c r="R287" s="18" t="n"/>
    </row>
    <row r="288">
      <c r="A288" s="19" t="n"/>
      <c r="B288" s="18" t="n"/>
      <c r="C288" s="19" t="n"/>
      <c r="D288" s="19" t="n"/>
      <c r="E288" s="20" t="n"/>
      <c r="F288" s="20" t="n"/>
      <c r="G288" s="19" t="n"/>
      <c r="H288" s="19" t="n"/>
      <c r="I288" s="21" t="n"/>
      <c r="J288" s="21" t="n"/>
      <c r="K288" s="22">
        <f>IF(I288="","",MAX(0,I288-J288))</f>
        <v/>
      </c>
      <c r="L288" s="19" t="n"/>
      <c r="M288" s="18" t="n"/>
      <c r="N288" s="19" t="n"/>
      <c r="O288" s="24">
        <f>IF(OR(C288="",D288=""),"",C288&amp;"|"&amp;D288&amp;"|"&amp;TEXT(I288,"0.00"))</f>
        <v/>
      </c>
      <c r="P288" s="24">
        <f>IF(OR(F288="",K288=0),0,MAX(0,TODAY()-F288))</f>
        <v/>
      </c>
      <c r="Q288" s="24">
        <f>IF(OR(L288="Paid",L288="Cancelled",F288=""),"",IF(F288&lt;TODAY(),"OVERDUE",IF(F288&lt;=TODAY()+'Setup &amp; Lists'!$M$7,"DUE SOON","")))</f>
        <v/>
      </c>
      <c r="R288" s="18" t="n"/>
    </row>
    <row r="289">
      <c r="A289" s="19" t="n"/>
      <c r="B289" s="18" t="n"/>
      <c r="C289" s="19" t="n"/>
      <c r="D289" s="19" t="n"/>
      <c r="E289" s="20" t="n"/>
      <c r="F289" s="20" t="n"/>
      <c r="G289" s="19" t="n"/>
      <c r="H289" s="19" t="n"/>
      <c r="I289" s="21" t="n"/>
      <c r="J289" s="21" t="n"/>
      <c r="K289" s="22">
        <f>IF(I289="","",MAX(0,I289-J289))</f>
        <v/>
      </c>
      <c r="L289" s="19" t="n"/>
      <c r="M289" s="18" t="n"/>
      <c r="N289" s="19" t="n"/>
      <c r="O289" s="24">
        <f>IF(OR(C289="",D289=""),"",C289&amp;"|"&amp;D289&amp;"|"&amp;TEXT(I289,"0.00"))</f>
        <v/>
      </c>
      <c r="P289" s="24">
        <f>IF(OR(F289="",K289=0),0,MAX(0,TODAY()-F289))</f>
        <v/>
      </c>
      <c r="Q289" s="24">
        <f>IF(OR(L289="Paid",L289="Cancelled",F289=""),"",IF(F289&lt;TODAY(),"OVERDUE",IF(F289&lt;=TODAY()+'Setup &amp; Lists'!$M$7,"DUE SOON","")))</f>
        <v/>
      </c>
      <c r="R289" s="18" t="n"/>
    </row>
    <row r="290">
      <c r="A290" s="19" t="n"/>
      <c r="B290" s="18" t="n"/>
      <c r="C290" s="19" t="n"/>
      <c r="D290" s="19" t="n"/>
      <c r="E290" s="20" t="n"/>
      <c r="F290" s="20" t="n"/>
      <c r="G290" s="19" t="n"/>
      <c r="H290" s="19" t="n"/>
      <c r="I290" s="21" t="n"/>
      <c r="J290" s="21" t="n"/>
      <c r="K290" s="22">
        <f>IF(I290="","",MAX(0,I290-J290))</f>
        <v/>
      </c>
      <c r="L290" s="19" t="n"/>
      <c r="M290" s="18" t="n"/>
      <c r="N290" s="19" t="n"/>
      <c r="O290" s="24">
        <f>IF(OR(C290="",D290=""),"",C290&amp;"|"&amp;D290&amp;"|"&amp;TEXT(I290,"0.00"))</f>
        <v/>
      </c>
      <c r="P290" s="24">
        <f>IF(OR(F290="",K290=0),0,MAX(0,TODAY()-F290))</f>
        <v/>
      </c>
      <c r="Q290" s="24">
        <f>IF(OR(L290="Paid",L290="Cancelled",F290=""),"",IF(F290&lt;TODAY(),"OVERDUE",IF(F290&lt;=TODAY()+'Setup &amp; Lists'!$M$7,"DUE SOON","")))</f>
        <v/>
      </c>
      <c r="R290" s="18" t="n"/>
    </row>
    <row r="291">
      <c r="A291" s="19" t="n"/>
      <c r="B291" s="18" t="n"/>
      <c r="C291" s="19" t="n"/>
      <c r="D291" s="19" t="n"/>
      <c r="E291" s="20" t="n"/>
      <c r="F291" s="20" t="n"/>
      <c r="G291" s="19" t="n"/>
      <c r="H291" s="19" t="n"/>
      <c r="I291" s="21" t="n"/>
      <c r="J291" s="21" t="n"/>
      <c r="K291" s="22">
        <f>IF(I291="","",MAX(0,I291-J291))</f>
        <v/>
      </c>
      <c r="L291" s="19" t="n"/>
      <c r="M291" s="18" t="n"/>
      <c r="N291" s="19" t="n"/>
      <c r="O291" s="24">
        <f>IF(OR(C291="",D291=""),"",C291&amp;"|"&amp;D291&amp;"|"&amp;TEXT(I291,"0.00"))</f>
        <v/>
      </c>
      <c r="P291" s="24">
        <f>IF(OR(F291="",K291=0),0,MAX(0,TODAY()-F291))</f>
        <v/>
      </c>
      <c r="Q291" s="24">
        <f>IF(OR(L291="Paid",L291="Cancelled",F291=""),"",IF(F291&lt;TODAY(),"OVERDUE",IF(F291&lt;=TODAY()+'Setup &amp; Lists'!$M$7,"DUE SOON","")))</f>
        <v/>
      </c>
      <c r="R291" s="18" t="n"/>
    </row>
    <row r="292">
      <c r="A292" s="19" t="n"/>
      <c r="B292" s="18" t="n"/>
      <c r="C292" s="19" t="n"/>
      <c r="D292" s="19" t="n"/>
      <c r="E292" s="20" t="n"/>
      <c r="F292" s="20" t="n"/>
      <c r="G292" s="19" t="n"/>
      <c r="H292" s="19" t="n"/>
      <c r="I292" s="21" t="n"/>
      <c r="J292" s="21" t="n"/>
      <c r="K292" s="22">
        <f>IF(I292="","",MAX(0,I292-J292))</f>
        <v/>
      </c>
      <c r="L292" s="19" t="n"/>
      <c r="M292" s="18" t="n"/>
      <c r="N292" s="19" t="n"/>
      <c r="O292" s="24">
        <f>IF(OR(C292="",D292=""),"",C292&amp;"|"&amp;D292&amp;"|"&amp;TEXT(I292,"0.00"))</f>
        <v/>
      </c>
      <c r="P292" s="24">
        <f>IF(OR(F292="",K292=0),0,MAX(0,TODAY()-F292))</f>
        <v/>
      </c>
      <c r="Q292" s="24">
        <f>IF(OR(L292="Paid",L292="Cancelled",F292=""),"",IF(F292&lt;TODAY(),"OVERDUE",IF(F292&lt;=TODAY()+'Setup &amp; Lists'!$M$7,"DUE SOON","")))</f>
        <v/>
      </c>
      <c r="R292" s="18" t="n"/>
    </row>
    <row r="293">
      <c r="A293" s="19" t="n"/>
      <c r="B293" s="18" t="n"/>
      <c r="C293" s="19" t="n"/>
      <c r="D293" s="19" t="n"/>
      <c r="E293" s="20" t="n"/>
      <c r="F293" s="20" t="n"/>
      <c r="G293" s="19" t="n"/>
      <c r="H293" s="19" t="n"/>
      <c r="I293" s="21" t="n"/>
      <c r="J293" s="21" t="n"/>
      <c r="K293" s="22">
        <f>IF(I293="","",MAX(0,I293-J293))</f>
        <v/>
      </c>
      <c r="L293" s="19" t="n"/>
      <c r="M293" s="18" t="n"/>
      <c r="N293" s="19" t="n"/>
      <c r="O293" s="24">
        <f>IF(OR(C293="",D293=""),"",C293&amp;"|"&amp;D293&amp;"|"&amp;TEXT(I293,"0.00"))</f>
        <v/>
      </c>
      <c r="P293" s="24">
        <f>IF(OR(F293="",K293=0),0,MAX(0,TODAY()-F293))</f>
        <v/>
      </c>
      <c r="Q293" s="24">
        <f>IF(OR(L293="Paid",L293="Cancelled",F293=""),"",IF(F293&lt;TODAY(),"OVERDUE",IF(F293&lt;=TODAY()+'Setup &amp; Lists'!$M$7,"DUE SOON","")))</f>
        <v/>
      </c>
      <c r="R293" s="18" t="n"/>
    </row>
    <row r="294">
      <c r="A294" s="19" t="n"/>
      <c r="B294" s="18" t="n"/>
      <c r="C294" s="19" t="n"/>
      <c r="D294" s="19" t="n"/>
      <c r="E294" s="20" t="n"/>
      <c r="F294" s="20" t="n"/>
      <c r="G294" s="19" t="n"/>
      <c r="H294" s="19" t="n"/>
      <c r="I294" s="21" t="n"/>
      <c r="J294" s="21" t="n"/>
      <c r="K294" s="22">
        <f>IF(I294="","",MAX(0,I294-J294))</f>
        <v/>
      </c>
      <c r="L294" s="19" t="n"/>
      <c r="M294" s="18" t="n"/>
      <c r="N294" s="19" t="n"/>
      <c r="O294" s="24">
        <f>IF(OR(C294="",D294=""),"",C294&amp;"|"&amp;D294&amp;"|"&amp;TEXT(I294,"0.00"))</f>
        <v/>
      </c>
      <c r="P294" s="24">
        <f>IF(OR(F294="",K294=0),0,MAX(0,TODAY()-F294))</f>
        <v/>
      </c>
      <c r="Q294" s="24">
        <f>IF(OR(L294="Paid",L294="Cancelled",F294=""),"",IF(F294&lt;TODAY(),"OVERDUE",IF(F294&lt;=TODAY()+'Setup &amp; Lists'!$M$7,"DUE SOON","")))</f>
        <v/>
      </c>
      <c r="R294" s="18" t="n"/>
    </row>
    <row r="295">
      <c r="A295" s="19" t="n"/>
      <c r="B295" s="18" t="n"/>
      <c r="C295" s="19" t="n"/>
      <c r="D295" s="19" t="n"/>
      <c r="E295" s="20" t="n"/>
      <c r="F295" s="20" t="n"/>
      <c r="G295" s="19" t="n"/>
      <c r="H295" s="19" t="n"/>
      <c r="I295" s="21" t="n"/>
      <c r="J295" s="21" t="n"/>
      <c r="K295" s="22">
        <f>IF(I295="","",MAX(0,I295-J295))</f>
        <v/>
      </c>
      <c r="L295" s="19" t="n"/>
      <c r="M295" s="18" t="n"/>
      <c r="N295" s="19" t="n"/>
      <c r="O295" s="24">
        <f>IF(OR(C295="",D295=""),"",C295&amp;"|"&amp;D295&amp;"|"&amp;TEXT(I295,"0.00"))</f>
        <v/>
      </c>
      <c r="P295" s="24">
        <f>IF(OR(F295="",K295=0),0,MAX(0,TODAY()-F295))</f>
        <v/>
      </c>
      <c r="Q295" s="24">
        <f>IF(OR(L295="Paid",L295="Cancelled",F295=""),"",IF(F295&lt;TODAY(),"OVERDUE",IF(F295&lt;=TODAY()+'Setup &amp; Lists'!$M$7,"DUE SOON","")))</f>
        <v/>
      </c>
      <c r="R295" s="18" t="n"/>
    </row>
    <row r="296">
      <c r="A296" s="19" t="n"/>
      <c r="B296" s="18" t="n"/>
      <c r="C296" s="19" t="n"/>
      <c r="D296" s="19" t="n"/>
      <c r="E296" s="20" t="n"/>
      <c r="F296" s="20" t="n"/>
      <c r="G296" s="19" t="n"/>
      <c r="H296" s="19" t="n"/>
      <c r="I296" s="21" t="n"/>
      <c r="J296" s="21" t="n"/>
      <c r="K296" s="22">
        <f>IF(I296="","",MAX(0,I296-J296))</f>
        <v/>
      </c>
      <c r="L296" s="19" t="n"/>
      <c r="M296" s="18" t="n"/>
      <c r="N296" s="19" t="n"/>
      <c r="O296" s="24">
        <f>IF(OR(C296="",D296=""),"",C296&amp;"|"&amp;D296&amp;"|"&amp;TEXT(I296,"0.00"))</f>
        <v/>
      </c>
      <c r="P296" s="24">
        <f>IF(OR(F296="",K296=0),0,MAX(0,TODAY()-F296))</f>
        <v/>
      </c>
      <c r="Q296" s="24">
        <f>IF(OR(L296="Paid",L296="Cancelled",F296=""),"",IF(F296&lt;TODAY(),"OVERDUE",IF(F296&lt;=TODAY()+'Setup &amp; Lists'!$M$7,"DUE SOON","")))</f>
        <v/>
      </c>
      <c r="R296" s="18" t="n"/>
    </row>
    <row r="297">
      <c r="A297" s="19" t="n"/>
      <c r="B297" s="18" t="n"/>
      <c r="C297" s="19" t="n"/>
      <c r="D297" s="19" t="n"/>
      <c r="E297" s="20" t="n"/>
      <c r="F297" s="20" t="n"/>
      <c r="G297" s="19" t="n"/>
      <c r="H297" s="19" t="n"/>
      <c r="I297" s="21" t="n"/>
      <c r="J297" s="21" t="n"/>
      <c r="K297" s="22">
        <f>IF(I297="","",MAX(0,I297-J297))</f>
        <v/>
      </c>
      <c r="L297" s="19" t="n"/>
      <c r="M297" s="18" t="n"/>
      <c r="N297" s="19" t="n"/>
      <c r="O297" s="24">
        <f>IF(OR(C297="",D297=""),"",C297&amp;"|"&amp;D297&amp;"|"&amp;TEXT(I297,"0.00"))</f>
        <v/>
      </c>
      <c r="P297" s="24">
        <f>IF(OR(F297="",K297=0),0,MAX(0,TODAY()-F297))</f>
        <v/>
      </c>
      <c r="Q297" s="24">
        <f>IF(OR(L297="Paid",L297="Cancelled",F297=""),"",IF(F297&lt;TODAY(),"OVERDUE",IF(F297&lt;=TODAY()+'Setup &amp; Lists'!$M$7,"DUE SOON","")))</f>
        <v/>
      </c>
      <c r="R297" s="18" t="n"/>
    </row>
    <row r="298">
      <c r="A298" s="19" t="n"/>
      <c r="B298" s="18" t="n"/>
      <c r="C298" s="19" t="n"/>
      <c r="D298" s="19" t="n"/>
      <c r="E298" s="20" t="n"/>
      <c r="F298" s="20" t="n"/>
      <c r="G298" s="19" t="n"/>
      <c r="H298" s="19" t="n"/>
      <c r="I298" s="21" t="n"/>
      <c r="J298" s="21" t="n"/>
      <c r="K298" s="22">
        <f>IF(I298="","",MAX(0,I298-J298))</f>
        <v/>
      </c>
      <c r="L298" s="19" t="n"/>
      <c r="M298" s="18" t="n"/>
      <c r="N298" s="19" t="n"/>
      <c r="O298" s="24">
        <f>IF(OR(C298="",D298=""),"",C298&amp;"|"&amp;D298&amp;"|"&amp;TEXT(I298,"0.00"))</f>
        <v/>
      </c>
      <c r="P298" s="24">
        <f>IF(OR(F298="",K298=0),0,MAX(0,TODAY()-F298))</f>
        <v/>
      </c>
      <c r="Q298" s="24">
        <f>IF(OR(L298="Paid",L298="Cancelled",F298=""),"",IF(F298&lt;TODAY(),"OVERDUE",IF(F298&lt;=TODAY()+'Setup &amp; Lists'!$M$7,"DUE SOON","")))</f>
        <v/>
      </c>
      <c r="R298" s="18" t="n"/>
    </row>
    <row r="299">
      <c r="A299" s="19" t="n"/>
      <c r="B299" s="18" t="n"/>
      <c r="C299" s="19" t="n"/>
      <c r="D299" s="19" t="n"/>
      <c r="E299" s="20" t="n"/>
      <c r="F299" s="20" t="n"/>
      <c r="G299" s="19" t="n"/>
      <c r="H299" s="19" t="n"/>
      <c r="I299" s="21" t="n"/>
      <c r="J299" s="21" t="n"/>
      <c r="K299" s="22">
        <f>IF(I299="","",MAX(0,I299-J299))</f>
        <v/>
      </c>
      <c r="L299" s="19" t="n"/>
      <c r="M299" s="18" t="n"/>
      <c r="N299" s="19" t="n"/>
      <c r="O299" s="24">
        <f>IF(OR(C299="",D299=""),"",C299&amp;"|"&amp;D299&amp;"|"&amp;TEXT(I299,"0.00"))</f>
        <v/>
      </c>
      <c r="P299" s="24">
        <f>IF(OR(F299="",K299=0),0,MAX(0,TODAY()-F299))</f>
        <v/>
      </c>
      <c r="Q299" s="24">
        <f>IF(OR(L299="Paid",L299="Cancelled",F299=""),"",IF(F299&lt;TODAY(),"OVERDUE",IF(F299&lt;=TODAY()+'Setup &amp; Lists'!$M$7,"DUE SOON","")))</f>
        <v/>
      </c>
      <c r="R299" s="18" t="n"/>
    </row>
    <row r="300">
      <c r="A300" s="19" t="n"/>
      <c r="B300" s="18" t="n"/>
      <c r="C300" s="19" t="n"/>
      <c r="D300" s="19" t="n"/>
      <c r="E300" s="20" t="n"/>
      <c r="F300" s="20" t="n"/>
      <c r="G300" s="19" t="n"/>
      <c r="H300" s="19" t="n"/>
      <c r="I300" s="21" t="n"/>
      <c r="J300" s="21" t="n"/>
      <c r="K300" s="22">
        <f>IF(I300="","",MAX(0,I300-J300))</f>
        <v/>
      </c>
      <c r="L300" s="19" t="n"/>
      <c r="M300" s="18" t="n"/>
      <c r="N300" s="19" t="n"/>
      <c r="O300" s="24">
        <f>IF(OR(C300="",D300=""),"",C300&amp;"|"&amp;D300&amp;"|"&amp;TEXT(I300,"0.00"))</f>
        <v/>
      </c>
      <c r="P300" s="24">
        <f>IF(OR(F300="",K300=0),0,MAX(0,TODAY()-F300))</f>
        <v/>
      </c>
      <c r="Q300" s="24">
        <f>IF(OR(L300="Paid",L300="Cancelled",F300=""),"",IF(F300&lt;TODAY(),"OVERDUE",IF(F300&lt;=TODAY()+'Setup &amp; Lists'!$M$7,"DUE SOON","")))</f>
        <v/>
      </c>
      <c r="R300" s="18" t="n"/>
    </row>
    <row r="301">
      <c r="A301" s="19" t="n"/>
      <c r="B301" s="18" t="n"/>
      <c r="C301" s="19" t="n"/>
      <c r="D301" s="19" t="n"/>
      <c r="E301" s="20" t="n"/>
      <c r="F301" s="20" t="n"/>
      <c r="G301" s="19" t="n"/>
      <c r="H301" s="19" t="n"/>
      <c r="I301" s="21" t="n"/>
      <c r="J301" s="21" t="n"/>
      <c r="K301" s="22">
        <f>IF(I301="","",MAX(0,I301-J301))</f>
        <v/>
      </c>
      <c r="L301" s="19" t="n"/>
      <c r="M301" s="18" t="n"/>
      <c r="N301" s="19" t="n"/>
      <c r="O301" s="24">
        <f>IF(OR(C301="",D301=""),"",C301&amp;"|"&amp;D301&amp;"|"&amp;TEXT(I301,"0.00"))</f>
        <v/>
      </c>
      <c r="P301" s="24">
        <f>IF(OR(F301="",K301=0),0,MAX(0,TODAY()-F301))</f>
        <v/>
      </c>
      <c r="Q301" s="24">
        <f>IF(OR(L301="Paid",L301="Cancelled",F301=""),"",IF(F301&lt;TODAY(),"OVERDUE",IF(F301&lt;=TODAY()+'Setup &amp; Lists'!$M$7,"DUE SOON","")))</f>
        <v/>
      </c>
      <c r="R301" s="18" t="n"/>
    </row>
    <row r="302">
      <c r="A302" s="19" t="n"/>
      <c r="B302" s="18" t="n"/>
      <c r="C302" s="19" t="n"/>
      <c r="D302" s="19" t="n"/>
      <c r="E302" s="20" t="n"/>
      <c r="F302" s="20" t="n"/>
      <c r="G302" s="19" t="n"/>
      <c r="H302" s="19" t="n"/>
      <c r="I302" s="21" t="n"/>
      <c r="J302" s="21" t="n"/>
      <c r="K302" s="22">
        <f>IF(I302="","",MAX(0,I302-J302))</f>
        <v/>
      </c>
      <c r="L302" s="19" t="n"/>
      <c r="M302" s="18" t="n"/>
      <c r="N302" s="19" t="n"/>
      <c r="O302" s="24">
        <f>IF(OR(C302="",D302=""),"",C302&amp;"|"&amp;D302&amp;"|"&amp;TEXT(I302,"0.00"))</f>
        <v/>
      </c>
      <c r="P302" s="24">
        <f>IF(OR(F302="",K302=0),0,MAX(0,TODAY()-F302))</f>
        <v/>
      </c>
      <c r="Q302" s="24">
        <f>IF(OR(L302="Paid",L302="Cancelled",F302=""),"",IF(F302&lt;TODAY(),"OVERDUE",IF(F302&lt;=TODAY()+'Setup &amp; Lists'!$M$7,"DUE SOON","")))</f>
        <v/>
      </c>
      <c r="R302" s="18" t="n"/>
    </row>
    <row r="303">
      <c r="A303" s="19" t="n"/>
      <c r="B303" s="18" t="n"/>
      <c r="C303" s="19" t="n"/>
      <c r="D303" s="19" t="n"/>
      <c r="E303" s="20" t="n"/>
      <c r="F303" s="20" t="n"/>
      <c r="G303" s="19" t="n"/>
      <c r="H303" s="19" t="n"/>
      <c r="I303" s="21" t="n"/>
      <c r="J303" s="21" t="n"/>
      <c r="K303" s="22">
        <f>IF(I303="","",MAX(0,I303-J303))</f>
        <v/>
      </c>
      <c r="L303" s="19" t="n"/>
      <c r="M303" s="18" t="n"/>
      <c r="N303" s="19" t="n"/>
      <c r="O303" s="24">
        <f>IF(OR(C303="",D303=""),"",C303&amp;"|"&amp;D303&amp;"|"&amp;TEXT(I303,"0.00"))</f>
        <v/>
      </c>
      <c r="P303" s="24">
        <f>IF(OR(F303="",K303=0),0,MAX(0,TODAY()-F303))</f>
        <v/>
      </c>
      <c r="Q303" s="24">
        <f>IF(OR(L303="Paid",L303="Cancelled",F303=""),"",IF(F303&lt;TODAY(),"OVERDUE",IF(F303&lt;=TODAY()+'Setup &amp; Lists'!$M$7,"DUE SOON","")))</f>
        <v/>
      </c>
      <c r="R303" s="18" t="n"/>
    </row>
    <row r="304">
      <c r="A304" s="19" t="n"/>
      <c r="B304" s="18" t="n"/>
      <c r="C304" s="19" t="n"/>
      <c r="D304" s="19" t="n"/>
      <c r="E304" s="20" t="n"/>
      <c r="F304" s="20" t="n"/>
      <c r="G304" s="19" t="n"/>
      <c r="H304" s="19" t="n"/>
      <c r="I304" s="21" t="n"/>
      <c r="J304" s="21" t="n"/>
      <c r="K304" s="22">
        <f>IF(I304="","",MAX(0,I304-J304))</f>
        <v/>
      </c>
      <c r="L304" s="19" t="n"/>
      <c r="M304" s="18" t="n"/>
      <c r="N304" s="19" t="n"/>
      <c r="O304" s="24">
        <f>IF(OR(C304="",D304=""),"",C304&amp;"|"&amp;D304&amp;"|"&amp;TEXT(I304,"0.00"))</f>
        <v/>
      </c>
      <c r="P304" s="24">
        <f>IF(OR(F304="",K304=0),0,MAX(0,TODAY()-F304))</f>
        <v/>
      </c>
      <c r="Q304" s="24">
        <f>IF(OR(L304="Paid",L304="Cancelled",F304=""),"",IF(F304&lt;TODAY(),"OVERDUE",IF(F304&lt;=TODAY()+'Setup &amp; Lists'!$M$7,"DUE SOON","")))</f>
        <v/>
      </c>
      <c r="R304" s="18" t="n"/>
    </row>
    <row r="305">
      <c r="A305" s="19" t="n"/>
      <c r="B305" s="18" t="n"/>
      <c r="C305" s="19" t="n"/>
      <c r="D305" s="19" t="n"/>
      <c r="E305" s="20" t="n"/>
      <c r="F305" s="20" t="n"/>
      <c r="G305" s="19" t="n"/>
      <c r="H305" s="19" t="n"/>
      <c r="I305" s="21" t="n"/>
      <c r="J305" s="21" t="n"/>
      <c r="K305" s="22">
        <f>IF(I305="","",MAX(0,I305-J305))</f>
        <v/>
      </c>
      <c r="L305" s="19" t="n"/>
      <c r="M305" s="18" t="n"/>
      <c r="N305" s="19" t="n"/>
      <c r="O305" s="24">
        <f>IF(OR(C305="",D305=""),"",C305&amp;"|"&amp;D305&amp;"|"&amp;TEXT(I305,"0.00"))</f>
        <v/>
      </c>
      <c r="P305" s="24">
        <f>IF(OR(F305="",K305=0),0,MAX(0,TODAY()-F305))</f>
        <v/>
      </c>
      <c r="Q305" s="24">
        <f>IF(OR(L305="Paid",L305="Cancelled",F305=""),"",IF(F305&lt;TODAY(),"OVERDUE",IF(F305&lt;=TODAY()+'Setup &amp; Lists'!$M$7,"DUE SOON","")))</f>
        <v/>
      </c>
      <c r="R305" s="18" t="n"/>
    </row>
    <row r="306">
      <c r="A306" s="19" t="n"/>
      <c r="B306" s="18" t="n"/>
      <c r="C306" s="19" t="n"/>
      <c r="D306" s="19" t="n"/>
      <c r="E306" s="20" t="n"/>
      <c r="F306" s="20" t="n"/>
      <c r="G306" s="19" t="n"/>
      <c r="H306" s="19" t="n"/>
      <c r="I306" s="21" t="n"/>
      <c r="J306" s="21" t="n"/>
      <c r="K306" s="22">
        <f>IF(I306="","",MAX(0,I306-J306))</f>
        <v/>
      </c>
      <c r="L306" s="19" t="n"/>
      <c r="M306" s="18" t="n"/>
      <c r="N306" s="19" t="n"/>
      <c r="O306" s="24">
        <f>IF(OR(C306="",D306=""),"",C306&amp;"|"&amp;D306&amp;"|"&amp;TEXT(I306,"0.00"))</f>
        <v/>
      </c>
      <c r="P306" s="24">
        <f>IF(OR(F306="",K306=0),0,MAX(0,TODAY()-F306))</f>
        <v/>
      </c>
      <c r="Q306" s="24">
        <f>IF(OR(L306="Paid",L306="Cancelled",F306=""),"",IF(F306&lt;TODAY(),"OVERDUE",IF(F306&lt;=TODAY()+'Setup &amp; Lists'!$M$7,"DUE SOON","")))</f>
        <v/>
      </c>
      <c r="R306" s="18" t="n"/>
    </row>
    <row r="307">
      <c r="A307" s="19" t="n"/>
      <c r="B307" s="18" t="n"/>
      <c r="C307" s="19" t="n"/>
      <c r="D307" s="19" t="n"/>
      <c r="E307" s="20" t="n"/>
      <c r="F307" s="20" t="n"/>
      <c r="G307" s="19" t="n"/>
      <c r="H307" s="19" t="n"/>
      <c r="I307" s="21" t="n"/>
      <c r="J307" s="21" t="n"/>
      <c r="K307" s="22">
        <f>IF(I307="","",MAX(0,I307-J307))</f>
        <v/>
      </c>
      <c r="L307" s="19" t="n"/>
      <c r="M307" s="18" t="n"/>
      <c r="N307" s="19" t="n"/>
      <c r="O307" s="24">
        <f>IF(OR(C307="",D307=""),"",C307&amp;"|"&amp;D307&amp;"|"&amp;TEXT(I307,"0.00"))</f>
        <v/>
      </c>
      <c r="P307" s="24">
        <f>IF(OR(F307="",K307=0),0,MAX(0,TODAY()-F307))</f>
        <v/>
      </c>
      <c r="Q307" s="24">
        <f>IF(OR(L307="Paid",L307="Cancelled",F307=""),"",IF(F307&lt;TODAY(),"OVERDUE",IF(F307&lt;=TODAY()+'Setup &amp; Lists'!$M$7,"DUE SOON","")))</f>
        <v/>
      </c>
      <c r="R307" s="18" t="n"/>
    </row>
    <row r="308">
      <c r="A308" s="19" t="n"/>
      <c r="B308" s="18" t="n"/>
      <c r="C308" s="19" t="n"/>
      <c r="D308" s="19" t="n"/>
      <c r="E308" s="20" t="n"/>
      <c r="F308" s="20" t="n"/>
      <c r="G308" s="19" t="n"/>
      <c r="H308" s="19" t="n"/>
      <c r="I308" s="21" t="n"/>
      <c r="J308" s="21" t="n"/>
      <c r="K308" s="22">
        <f>IF(I308="","",MAX(0,I308-J308))</f>
        <v/>
      </c>
      <c r="L308" s="19" t="n"/>
      <c r="M308" s="18" t="n"/>
      <c r="N308" s="19" t="n"/>
      <c r="O308" s="24">
        <f>IF(OR(C308="",D308=""),"",C308&amp;"|"&amp;D308&amp;"|"&amp;TEXT(I308,"0.00"))</f>
        <v/>
      </c>
      <c r="P308" s="24">
        <f>IF(OR(F308="",K308=0),0,MAX(0,TODAY()-F308))</f>
        <v/>
      </c>
      <c r="Q308" s="24">
        <f>IF(OR(L308="Paid",L308="Cancelled",F308=""),"",IF(F308&lt;TODAY(),"OVERDUE",IF(F308&lt;=TODAY()+'Setup &amp; Lists'!$M$7,"DUE SOON","")))</f>
        <v/>
      </c>
      <c r="R308" s="18" t="n"/>
    </row>
    <row r="309">
      <c r="A309" s="19" t="n"/>
      <c r="B309" s="18" t="n"/>
      <c r="C309" s="19" t="n"/>
      <c r="D309" s="19" t="n"/>
      <c r="E309" s="20" t="n"/>
      <c r="F309" s="20" t="n"/>
      <c r="G309" s="19" t="n"/>
      <c r="H309" s="19" t="n"/>
      <c r="I309" s="21" t="n"/>
      <c r="J309" s="21" t="n"/>
      <c r="K309" s="22">
        <f>IF(I309="","",MAX(0,I309-J309))</f>
        <v/>
      </c>
      <c r="L309" s="19" t="n"/>
      <c r="M309" s="18" t="n"/>
      <c r="N309" s="19" t="n"/>
      <c r="O309" s="24">
        <f>IF(OR(C309="",D309=""),"",C309&amp;"|"&amp;D309&amp;"|"&amp;TEXT(I309,"0.00"))</f>
        <v/>
      </c>
      <c r="P309" s="24">
        <f>IF(OR(F309="",K309=0),0,MAX(0,TODAY()-F309))</f>
        <v/>
      </c>
      <c r="Q309" s="24">
        <f>IF(OR(L309="Paid",L309="Cancelled",F309=""),"",IF(F309&lt;TODAY(),"OVERDUE",IF(F309&lt;=TODAY()+'Setup &amp; Lists'!$M$7,"DUE SOON","")))</f>
        <v/>
      </c>
      <c r="R309" s="18" t="n"/>
    </row>
    <row r="310">
      <c r="A310" s="19" t="n"/>
      <c r="B310" s="18" t="n"/>
      <c r="C310" s="19" t="n"/>
      <c r="D310" s="19" t="n"/>
      <c r="E310" s="20" t="n"/>
      <c r="F310" s="20" t="n"/>
      <c r="G310" s="19" t="n"/>
      <c r="H310" s="19" t="n"/>
      <c r="I310" s="21" t="n"/>
      <c r="J310" s="21" t="n"/>
      <c r="K310" s="22">
        <f>IF(I310="","",MAX(0,I310-J310))</f>
        <v/>
      </c>
      <c r="L310" s="19" t="n"/>
      <c r="M310" s="18" t="n"/>
      <c r="N310" s="19" t="n"/>
      <c r="O310" s="24">
        <f>IF(OR(C310="",D310=""),"",C310&amp;"|"&amp;D310&amp;"|"&amp;TEXT(I310,"0.00"))</f>
        <v/>
      </c>
      <c r="P310" s="24">
        <f>IF(OR(F310="",K310=0),0,MAX(0,TODAY()-F310))</f>
        <v/>
      </c>
      <c r="Q310" s="24">
        <f>IF(OR(L310="Paid",L310="Cancelled",F310=""),"",IF(F310&lt;TODAY(),"OVERDUE",IF(F310&lt;=TODAY()+'Setup &amp; Lists'!$M$7,"DUE SOON","")))</f>
        <v/>
      </c>
      <c r="R310" s="18" t="n"/>
    </row>
    <row r="311">
      <c r="A311" s="19" t="n"/>
      <c r="B311" s="18" t="n"/>
      <c r="C311" s="19" t="n"/>
      <c r="D311" s="19" t="n"/>
      <c r="E311" s="20" t="n"/>
      <c r="F311" s="20" t="n"/>
      <c r="G311" s="19" t="n"/>
      <c r="H311" s="19" t="n"/>
      <c r="I311" s="21" t="n"/>
      <c r="J311" s="21" t="n"/>
      <c r="K311" s="22">
        <f>IF(I311="","",MAX(0,I311-J311))</f>
        <v/>
      </c>
      <c r="L311" s="19" t="n"/>
      <c r="M311" s="18" t="n"/>
      <c r="N311" s="19" t="n"/>
      <c r="O311" s="24">
        <f>IF(OR(C311="",D311=""),"",C311&amp;"|"&amp;D311&amp;"|"&amp;TEXT(I311,"0.00"))</f>
        <v/>
      </c>
      <c r="P311" s="24">
        <f>IF(OR(F311="",K311=0),0,MAX(0,TODAY()-F311))</f>
        <v/>
      </c>
      <c r="Q311" s="24">
        <f>IF(OR(L311="Paid",L311="Cancelled",F311=""),"",IF(F311&lt;TODAY(),"OVERDUE",IF(F311&lt;=TODAY()+'Setup &amp; Lists'!$M$7,"DUE SOON","")))</f>
        <v/>
      </c>
      <c r="R311" s="18" t="n"/>
    </row>
    <row r="312">
      <c r="A312" s="19" t="n"/>
      <c r="B312" s="18" t="n"/>
      <c r="C312" s="19" t="n"/>
      <c r="D312" s="19" t="n"/>
      <c r="E312" s="20" t="n"/>
      <c r="F312" s="20" t="n"/>
      <c r="G312" s="19" t="n"/>
      <c r="H312" s="19" t="n"/>
      <c r="I312" s="21" t="n"/>
      <c r="J312" s="21" t="n"/>
      <c r="K312" s="22">
        <f>IF(I312="","",MAX(0,I312-J312))</f>
        <v/>
      </c>
      <c r="L312" s="19" t="n"/>
      <c r="M312" s="18" t="n"/>
      <c r="N312" s="19" t="n"/>
      <c r="O312" s="24">
        <f>IF(OR(C312="",D312=""),"",C312&amp;"|"&amp;D312&amp;"|"&amp;TEXT(I312,"0.00"))</f>
        <v/>
      </c>
      <c r="P312" s="24">
        <f>IF(OR(F312="",K312=0),0,MAX(0,TODAY()-F312))</f>
        <v/>
      </c>
      <c r="Q312" s="24">
        <f>IF(OR(L312="Paid",L312="Cancelled",F312=""),"",IF(F312&lt;TODAY(),"OVERDUE",IF(F312&lt;=TODAY()+'Setup &amp; Lists'!$M$7,"DUE SOON","")))</f>
        <v/>
      </c>
      <c r="R312" s="18" t="n"/>
    </row>
    <row r="313">
      <c r="A313" s="19" t="n"/>
      <c r="B313" s="18" t="n"/>
      <c r="C313" s="19" t="n"/>
      <c r="D313" s="19" t="n"/>
      <c r="E313" s="20" t="n"/>
      <c r="F313" s="20" t="n"/>
      <c r="G313" s="19" t="n"/>
      <c r="H313" s="19" t="n"/>
      <c r="I313" s="21" t="n"/>
      <c r="J313" s="21" t="n"/>
      <c r="K313" s="22">
        <f>IF(I313="","",MAX(0,I313-J313))</f>
        <v/>
      </c>
      <c r="L313" s="19" t="n"/>
      <c r="M313" s="18" t="n"/>
      <c r="N313" s="19" t="n"/>
      <c r="O313" s="24">
        <f>IF(OR(C313="",D313=""),"",C313&amp;"|"&amp;D313&amp;"|"&amp;TEXT(I313,"0.00"))</f>
        <v/>
      </c>
      <c r="P313" s="24">
        <f>IF(OR(F313="",K313=0),0,MAX(0,TODAY()-F313))</f>
        <v/>
      </c>
      <c r="Q313" s="24">
        <f>IF(OR(L313="Paid",L313="Cancelled",F313=""),"",IF(F313&lt;TODAY(),"OVERDUE",IF(F313&lt;=TODAY()+'Setup &amp; Lists'!$M$7,"DUE SOON","")))</f>
        <v/>
      </c>
      <c r="R313" s="18" t="n"/>
    </row>
    <row r="314">
      <c r="A314" s="19" t="n"/>
      <c r="B314" s="18" t="n"/>
      <c r="C314" s="19" t="n"/>
      <c r="D314" s="19" t="n"/>
      <c r="E314" s="20" t="n"/>
      <c r="F314" s="20" t="n"/>
      <c r="G314" s="19" t="n"/>
      <c r="H314" s="19" t="n"/>
      <c r="I314" s="21" t="n"/>
      <c r="J314" s="21" t="n"/>
      <c r="K314" s="22">
        <f>IF(I314="","",MAX(0,I314-J314))</f>
        <v/>
      </c>
      <c r="L314" s="19" t="n"/>
      <c r="M314" s="18" t="n"/>
      <c r="N314" s="19" t="n"/>
      <c r="O314" s="24">
        <f>IF(OR(C314="",D314=""),"",C314&amp;"|"&amp;D314&amp;"|"&amp;TEXT(I314,"0.00"))</f>
        <v/>
      </c>
      <c r="P314" s="24">
        <f>IF(OR(F314="",K314=0),0,MAX(0,TODAY()-F314))</f>
        <v/>
      </c>
      <c r="Q314" s="24">
        <f>IF(OR(L314="Paid",L314="Cancelled",F314=""),"",IF(F314&lt;TODAY(),"OVERDUE",IF(F314&lt;=TODAY()+'Setup &amp; Lists'!$M$7,"DUE SOON","")))</f>
        <v/>
      </c>
      <c r="R314" s="18" t="n"/>
    </row>
    <row r="315">
      <c r="A315" s="19" t="n"/>
      <c r="B315" s="18" t="n"/>
      <c r="C315" s="19" t="n"/>
      <c r="D315" s="19" t="n"/>
      <c r="E315" s="20" t="n"/>
      <c r="F315" s="20" t="n"/>
      <c r="G315" s="19" t="n"/>
      <c r="H315" s="19" t="n"/>
      <c r="I315" s="21" t="n"/>
      <c r="J315" s="21" t="n"/>
      <c r="K315" s="22">
        <f>IF(I315="","",MAX(0,I315-J315))</f>
        <v/>
      </c>
      <c r="L315" s="19" t="n"/>
      <c r="M315" s="18" t="n"/>
      <c r="N315" s="19" t="n"/>
      <c r="O315" s="24">
        <f>IF(OR(C315="",D315=""),"",C315&amp;"|"&amp;D315&amp;"|"&amp;TEXT(I315,"0.00"))</f>
        <v/>
      </c>
      <c r="P315" s="24">
        <f>IF(OR(F315="",K315=0),0,MAX(0,TODAY()-F315))</f>
        <v/>
      </c>
      <c r="Q315" s="24">
        <f>IF(OR(L315="Paid",L315="Cancelled",F315=""),"",IF(F315&lt;TODAY(),"OVERDUE",IF(F315&lt;=TODAY()+'Setup &amp; Lists'!$M$7,"DUE SOON","")))</f>
        <v/>
      </c>
      <c r="R315" s="18" t="n"/>
    </row>
    <row r="316">
      <c r="A316" s="19" t="n"/>
      <c r="B316" s="18" t="n"/>
      <c r="C316" s="19" t="n"/>
      <c r="D316" s="19" t="n"/>
      <c r="E316" s="20" t="n"/>
      <c r="F316" s="20" t="n"/>
      <c r="G316" s="19" t="n"/>
      <c r="H316" s="19" t="n"/>
      <c r="I316" s="21" t="n"/>
      <c r="J316" s="21" t="n"/>
      <c r="K316" s="22">
        <f>IF(I316="","",MAX(0,I316-J316))</f>
        <v/>
      </c>
      <c r="L316" s="19" t="n"/>
      <c r="M316" s="18" t="n"/>
      <c r="N316" s="19" t="n"/>
      <c r="O316" s="24">
        <f>IF(OR(C316="",D316=""),"",C316&amp;"|"&amp;D316&amp;"|"&amp;TEXT(I316,"0.00"))</f>
        <v/>
      </c>
      <c r="P316" s="24">
        <f>IF(OR(F316="",K316=0),0,MAX(0,TODAY()-F316))</f>
        <v/>
      </c>
      <c r="Q316" s="24">
        <f>IF(OR(L316="Paid",L316="Cancelled",F316=""),"",IF(F316&lt;TODAY(),"OVERDUE",IF(F316&lt;=TODAY()+'Setup &amp; Lists'!$M$7,"DUE SOON","")))</f>
        <v/>
      </c>
      <c r="R316" s="18" t="n"/>
    </row>
    <row r="317">
      <c r="A317" s="19" t="n"/>
      <c r="B317" s="18" t="n"/>
      <c r="C317" s="19" t="n"/>
      <c r="D317" s="19" t="n"/>
      <c r="E317" s="20" t="n"/>
      <c r="F317" s="20" t="n"/>
      <c r="G317" s="19" t="n"/>
      <c r="H317" s="19" t="n"/>
      <c r="I317" s="21" t="n"/>
      <c r="J317" s="21" t="n"/>
      <c r="K317" s="22">
        <f>IF(I317="","",MAX(0,I317-J317))</f>
        <v/>
      </c>
      <c r="L317" s="19" t="n"/>
      <c r="M317" s="18" t="n"/>
      <c r="N317" s="19" t="n"/>
      <c r="O317" s="24">
        <f>IF(OR(C317="",D317=""),"",C317&amp;"|"&amp;D317&amp;"|"&amp;TEXT(I317,"0.00"))</f>
        <v/>
      </c>
      <c r="P317" s="24">
        <f>IF(OR(F317="",K317=0),0,MAX(0,TODAY()-F317))</f>
        <v/>
      </c>
      <c r="Q317" s="24">
        <f>IF(OR(L317="Paid",L317="Cancelled",F317=""),"",IF(F317&lt;TODAY(),"OVERDUE",IF(F317&lt;=TODAY()+'Setup &amp; Lists'!$M$7,"DUE SOON","")))</f>
        <v/>
      </c>
      <c r="R317" s="18" t="n"/>
    </row>
    <row r="318">
      <c r="A318" s="19" t="n"/>
      <c r="B318" s="18" t="n"/>
      <c r="C318" s="19" t="n"/>
      <c r="D318" s="19" t="n"/>
      <c r="E318" s="20" t="n"/>
      <c r="F318" s="20" t="n"/>
      <c r="G318" s="19" t="n"/>
      <c r="H318" s="19" t="n"/>
      <c r="I318" s="21" t="n"/>
      <c r="J318" s="21" t="n"/>
      <c r="K318" s="22">
        <f>IF(I318="","",MAX(0,I318-J318))</f>
        <v/>
      </c>
      <c r="L318" s="19" t="n"/>
      <c r="M318" s="18" t="n"/>
      <c r="N318" s="19" t="n"/>
      <c r="O318" s="24">
        <f>IF(OR(C318="",D318=""),"",C318&amp;"|"&amp;D318&amp;"|"&amp;TEXT(I318,"0.00"))</f>
        <v/>
      </c>
      <c r="P318" s="24">
        <f>IF(OR(F318="",K318=0),0,MAX(0,TODAY()-F318))</f>
        <v/>
      </c>
      <c r="Q318" s="24">
        <f>IF(OR(L318="Paid",L318="Cancelled",F318=""),"",IF(F318&lt;TODAY(),"OVERDUE",IF(F318&lt;=TODAY()+'Setup &amp; Lists'!$M$7,"DUE SOON","")))</f>
        <v/>
      </c>
      <c r="R318" s="18" t="n"/>
    </row>
    <row r="319">
      <c r="A319" s="19" t="n"/>
      <c r="B319" s="18" t="n"/>
      <c r="C319" s="19" t="n"/>
      <c r="D319" s="19" t="n"/>
      <c r="E319" s="20" t="n"/>
      <c r="F319" s="20" t="n"/>
      <c r="G319" s="19" t="n"/>
      <c r="H319" s="19" t="n"/>
      <c r="I319" s="21" t="n"/>
      <c r="J319" s="21" t="n"/>
      <c r="K319" s="22">
        <f>IF(I319="","",MAX(0,I319-J319))</f>
        <v/>
      </c>
      <c r="L319" s="19" t="n"/>
      <c r="M319" s="18" t="n"/>
      <c r="N319" s="19" t="n"/>
      <c r="O319" s="24">
        <f>IF(OR(C319="",D319=""),"",C319&amp;"|"&amp;D319&amp;"|"&amp;TEXT(I319,"0.00"))</f>
        <v/>
      </c>
      <c r="P319" s="24">
        <f>IF(OR(F319="",K319=0),0,MAX(0,TODAY()-F319))</f>
        <v/>
      </c>
      <c r="Q319" s="24">
        <f>IF(OR(L319="Paid",L319="Cancelled",F319=""),"",IF(F319&lt;TODAY(),"OVERDUE",IF(F319&lt;=TODAY()+'Setup &amp; Lists'!$M$7,"DUE SOON","")))</f>
        <v/>
      </c>
      <c r="R319" s="18" t="n"/>
    </row>
    <row r="320">
      <c r="A320" s="19" t="n"/>
      <c r="B320" s="18" t="n"/>
      <c r="C320" s="19" t="n"/>
      <c r="D320" s="19" t="n"/>
      <c r="E320" s="20" t="n"/>
      <c r="F320" s="20" t="n"/>
      <c r="G320" s="19" t="n"/>
      <c r="H320" s="19" t="n"/>
      <c r="I320" s="21" t="n"/>
      <c r="J320" s="21" t="n"/>
      <c r="K320" s="22">
        <f>IF(I320="","",MAX(0,I320-J320))</f>
        <v/>
      </c>
      <c r="L320" s="19" t="n"/>
      <c r="M320" s="18" t="n"/>
      <c r="N320" s="19" t="n"/>
      <c r="O320" s="24">
        <f>IF(OR(C320="",D320=""),"",C320&amp;"|"&amp;D320&amp;"|"&amp;TEXT(I320,"0.00"))</f>
        <v/>
      </c>
      <c r="P320" s="24">
        <f>IF(OR(F320="",K320=0),0,MAX(0,TODAY()-F320))</f>
        <v/>
      </c>
      <c r="Q320" s="24">
        <f>IF(OR(L320="Paid",L320="Cancelled",F320=""),"",IF(F320&lt;TODAY(),"OVERDUE",IF(F320&lt;=TODAY()+'Setup &amp; Lists'!$M$7,"DUE SOON","")))</f>
        <v/>
      </c>
      <c r="R320" s="18" t="n"/>
    </row>
    <row r="321">
      <c r="A321" s="19" t="n"/>
      <c r="B321" s="18" t="n"/>
      <c r="C321" s="19" t="n"/>
      <c r="D321" s="19" t="n"/>
      <c r="E321" s="20" t="n"/>
      <c r="F321" s="20" t="n"/>
      <c r="G321" s="19" t="n"/>
      <c r="H321" s="19" t="n"/>
      <c r="I321" s="21" t="n"/>
      <c r="J321" s="21" t="n"/>
      <c r="K321" s="22">
        <f>IF(I321="","",MAX(0,I321-J321))</f>
        <v/>
      </c>
      <c r="L321" s="19" t="n"/>
      <c r="M321" s="18" t="n"/>
      <c r="N321" s="19" t="n"/>
      <c r="O321" s="24">
        <f>IF(OR(C321="",D321=""),"",C321&amp;"|"&amp;D321&amp;"|"&amp;TEXT(I321,"0.00"))</f>
        <v/>
      </c>
      <c r="P321" s="24">
        <f>IF(OR(F321="",K321=0),0,MAX(0,TODAY()-F321))</f>
        <v/>
      </c>
      <c r="Q321" s="24">
        <f>IF(OR(L321="Paid",L321="Cancelled",F321=""),"",IF(F321&lt;TODAY(),"OVERDUE",IF(F321&lt;=TODAY()+'Setup &amp; Lists'!$M$7,"DUE SOON","")))</f>
        <v/>
      </c>
      <c r="R321" s="18" t="n"/>
    </row>
    <row r="322">
      <c r="A322" s="19" t="n"/>
      <c r="B322" s="18" t="n"/>
      <c r="C322" s="19" t="n"/>
      <c r="D322" s="19" t="n"/>
      <c r="E322" s="20" t="n"/>
      <c r="F322" s="20" t="n"/>
      <c r="G322" s="19" t="n"/>
      <c r="H322" s="19" t="n"/>
      <c r="I322" s="21" t="n"/>
      <c r="J322" s="21" t="n"/>
      <c r="K322" s="22">
        <f>IF(I322="","",MAX(0,I322-J322))</f>
        <v/>
      </c>
      <c r="L322" s="19" t="n"/>
      <c r="M322" s="18" t="n"/>
      <c r="N322" s="19" t="n"/>
      <c r="O322" s="24">
        <f>IF(OR(C322="",D322=""),"",C322&amp;"|"&amp;D322&amp;"|"&amp;TEXT(I322,"0.00"))</f>
        <v/>
      </c>
      <c r="P322" s="24">
        <f>IF(OR(F322="",K322=0),0,MAX(0,TODAY()-F322))</f>
        <v/>
      </c>
      <c r="Q322" s="24">
        <f>IF(OR(L322="Paid",L322="Cancelled",F322=""),"",IF(F322&lt;TODAY(),"OVERDUE",IF(F322&lt;=TODAY()+'Setup &amp; Lists'!$M$7,"DUE SOON","")))</f>
        <v/>
      </c>
      <c r="R322" s="18" t="n"/>
    </row>
    <row r="323">
      <c r="A323" s="19" t="n"/>
      <c r="B323" s="18" t="n"/>
      <c r="C323" s="19" t="n"/>
      <c r="D323" s="19" t="n"/>
      <c r="E323" s="20" t="n"/>
      <c r="F323" s="20" t="n"/>
      <c r="G323" s="19" t="n"/>
      <c r="H323" s="19" t="n"/>
      <c r="I323" s="21" t="n"/>
      <c r="J323" s="21" t="n"/>
      <c r="K323" s="22">
        <f>IF(I323="","",MAX(0,I323-J323))</f>
        <v/>
      </c>
      <c r="L323" s="19" t="n"/>
      <c r="M323" s="18" t="n"/>
      <c r="N323" s="19" t="n"/>
      <c r="O323" s="24">
        <f>IF(OR(C323="",D323=""),"",C323&amp;"|"&amp;D323&amp;"|"&amp;TEXT(I323,"0.00"))</f>
        <v/>
      </c>
      <c r="P323" s="24">
        <f>IF(OR(F323="",K323=0),0,MAX(0,TODAY()-F323))</f>
        <v/>
      </c>
      <c r="Q323" s="24">
        <f>IF(OR(L323="Paid",L323="Cancelled",F323=""),"",IF(F323&lt;TODAY(),"OVERDUE",IF(F323&lt;=TODAY()+'Setup &amp; Lists'!$M$7,"DUE SOON","")))</f>
        <v/>
      </c>
      <c r="R323" s="18" t="n"/>
    </row>
    <row r="324">
      <c r="A324" s="19" t="n"/>
      <c r="B324" s="18" t="n"/>
      <c r="C324" s="19" t="n"/>
      <c r="D324" s="19" t="n"/>
      <c r="E324" s="20" t="n"/>
      <c r="F324" s="20" t="n"/>
      <c r="G324" s="19" t="n"/>
      <c r="H324" s="19" t="n"/>
      <c r="I324" s="21" t="n"/>
      <c r="J324" s="21" t="n"/>
      <c r="K324" s="22">
        <f>IF(I324="","",MAX(0,I324-J324))</f>
        <v/>
      </c>
      <c r="L324" s="19" t="n"/>
      <c r="M324" s="18" t="n"/>
      <c r="N324" s="19" t="n"/>
      <c r="O324" s="24">
        <f>IF(OR(C324="",D324=""),"",C324&amp;"|"&amp;D324&amp;"|"&amp;TEXT(I324,"0.00"))</f>
        <v/>
      </c>
      <c r="P324" s="24">
        <f>IF(OR(F324="",K324=0),0,MAX(0,TODAY()-F324))</f>
        <v/>
      </c>
      <c r="Q324" s="24">
        <f>IF(OR(L324="Paid",L324="Cancelled",F324=""),"",IF(F324&lt;TODAY(),"OVERDUE",IF(F324&lt;=TODAY()+'Setup &amp; Lists'!$M$7,"DUE SOON","")))</f>
        <v/>
      </c>
      <c r="R324" s="18" t="n"/>
    </row>
    <row r="325">
      <c r="A325" s="19" t="n"/>
      <c r="B325" s="18" t="n"/>
      <c r="C325" s="19" t="n"/>
      <c r="D325" s="19" t="n"/>
      <c r="E325" s="20" t="n"/>
      <c r="F325" s="20" t="n"/>
      <c r="G325" s="19" t="n"/>
      <c r="H325" s="19" t="n"/>
      <c r="I325" s="21" t="n"/>
      <c r="J325" s="21" t="n"/>
      <c r="K325" s="22">
        <f>IF(I325="","",MAX(0,I325-J325))</f>
        <v/>
      </c>
      <c r="L325" s="19" t="n"/>
      <c r="M325" s="18" t="n"/>
      <c r="N325" s="19" t="n"/>
      <c r="O325" s="24">
        <f>IF(OR(C325="",D325=""),"",C325&amp;"|"&amp;D325&amp;"|"&amp;TEXT(I325,"0.00"))</f>
        <v/>
      </c>
      <c r="P325" s="24">
        <f>IF(OR(F325="",K325=0),0,MAX(0,TODAY()-F325))</f>
        <v/>
      </c>
      <c r="Q325" s="24">
        <f>IF(OR(L325="Paid",L325="Cancelled",F325=""),"",IF(F325&lt;TODAY(),"OVERDUE",IF(F325&lt;=TODAY()+'Setup &amp; Lists'!$M$7,"DUE SOON","")))</f>
        <v/>
      </c>
      <c r="R325" s="18" t="n"/>
    </row>
    <row r="326">
      <c r="A326" s="19" t="n"/>
      <c r="B326" s="18" t="n"/>
      <c r="C326" s="19" t="n"/>
      <c r="D326" s="19" t="n"/>
      <c r="E326" s="20" t="n"/>
      <c r="F326" s="20" t="n"/>
      <c r="G326" s="19" t="n"/>
      <c r="H326" s="19" t="n"/>
      <c r="I326" s="21" t="n"/>
      <c r="J326" s="21" t="n"/>
      <c r="K326" s="22">
        <f>IF(I326="","",MAX(0,I326-J326))</f>
        <v/>
      </c>
      <c r="L326" s="19" t="n"/>
      <c r="M326" s="18" t="n"/>
      <c r="N326" s="19" t="n"/>
      <c r="O326" s="24">
        <f>IF(OR(C326="",D326=""),"",C326&amp;"|"&amp;D326&amp;"|"&amp;TEXT(I326,"0.00"))</f>
        <v/>
      </c>
      <c r="P326" s="24">
        <f>IF(OR(F326="",K326=0),0,MAX(0,TODAY()-F326))</f>
        <v/>
      </c>
      <c r="Q326" s="24">
        <f>IF(OR(L326="Paid",L326="Cancelled",F326=""),"",IF(F326&lt;TODAY(),"OVERDUE",IF(F326&lt;=TODAY()+'Setup &amp; Lists'!$M$7,"DUE SOON","")))</f>
        <v/>
      </c>
      <c r="R326" s="18" t="n"/>
    </row>
    <row r="327">
      <c r="A327" s="19" t="n"/>
      <c r="B327" s="18" t="n"/>
      <c r="C327" s="19" t="n"/>
      <c r="D327" s="19" t="n"/>
      <c r="E327" s="20" t="n"/>
      <c r="F327" s="20" t="n"/>
      <c r="G327" s="19" t="n"/>
      <c r="H327" s="19" t="n"/>
      <c r="I327" s="21" t="n"/>
      <c r="J327" s="21" t="n"/>
      <c r="K327" s="22">
        <f>IF(I327="","",MAX(0,I327-J327))</f>
        <v/>
      </c>
      <c r="L327" s="19" t="n"/>
      <c r="M327" s="18" t="n"/>
      <c r="N327" s="19" t="n"/>
      <c r="O327" s="24">
        <f>IF(OR(C327="",D327=""),"",C327&amp;"|"&amp;D327&amp;"|"&amp;TEXT(I327,"0.00"))</f>
        <v/>
      </c>
      <c r="P327" s="24">
        <f>IF(OR(F327="",K327=0),0,MAX(0,TODAY()-F327))</f>
        <v/>
      </c>
      <c r="Q327" s="24">
        <f>IF(OR(L327="Paid",L327="Cancelled",F327=""),"",IF(F327&lt;TODAY(),"OVERDUE",IF(F327&lt;=TODAY()+'Setup &amp; Lists'!$M$7,"DUE SOON","")))</f>
        <v/>
      </c>
      <c r="R327" s="18" t="n"/>
    </row>
    <row r="328">
      <c r="A328" s="19" t="n"/>
      <c r="B328" s="18" t="n"/>
      <c r="C328" s="19" t="n"/>
      <c r="D328" s="19" t="n"/>
      <c r="E328" s="20" t="n"/>
      <c r="F328" s="20" t="n"/>
      <c r="G328" s="19" t="n"/>
      <c r="H328" s="19" t="n"/>
      <c r="I328" s="21" t="n"/>
      <c r="J328" s="21" t="n"/>
      <c r="K328" s="22">
        <f>IF(I328="","",MAX(0,I328-J328))</f>
        <v/>
      </c>
      <c r="L328" s="19" t="n"/>
      <c r="M328" s="18" t="n"/>
      <c r="N328" s="19" t="n"/>
      <c r="O328" s="24">
        <f>IF(OR(C328="",D328=""),"",C328&amp;"|"&amp;D328&amp;"|"&amp;TEXT(I328,"0.00"))</f>
        <v/>
      </c>
      <c r="P328" s="24">
        <f>IF(OR(F328="",K328=0),0,MAX(0,TODAY()-F328))</f>
        <v/>
      </c>
      <c r="Q328" s="24">
        <f>IF(OR(L328="Paid",L328="Cancelled",F328=""),"",IF(F328&lt;TODAY(),"OVERDUE",IF(F328&lt;=TODAY()+'Setup &amp; Lists'!$M$7,"DUE SOON","")))</f>
        <v/>
      </c>
      <c r="R328" s="18" t="n"/>
    </row>
    <row r="329">
      <c r="A329" s="19" t="n"/>
      <c r="B329" s="18" t="n"/>
      <c r="C329" s="19" t="n"/>
      <c r="D329" s="19" t="n"/>
      <c r="E329" s="20" t="n"/>
      <c r="F329" s="20" t="n"/>
      <c r="G329" s="19" t="n"/>
      <c r="H329" s="19" t="n"/>
      <c r="I329" s="21" t="n"/>
      <c r="J329" s="21" t="n"/>
      <c r="K329" s="22">
        <f>IF(I329="","",MAX(0,I329-J329))</f>
        <v/>
      </c>
      <c r="L329" s="19" t="n"/>
      <c r="M329" s="18" t="n"/>
      <c r="N329" s="19" t="n"/>
      <c r="O329" s="24">
        <f>IF(OR(C329="",D329=""),"",C329&amp;"|"&amp;D329&amp;"|"&amp;TEXT(I329,"0.00"))</f>
        <v/>
      </c>
      <c r="P329" s="24">
        <f>IF(OR(F329="",K329=0),0,MAX(0,TODAY()-F329))</f>
        <v/>
      </c>
      <c r="Q329" s="24">
        <f>IF(OR(L329="Paid",L329="Cancelled",F329=""),"",IF(F329&lt;TODAY(),"OVERDUE",IF(F329&lt;=TODAY()+'Setup &amp; Lists'!$M$7,"DUE SOON","")))</f>
        <v/>
      </c>
      <c r="R329" s="18" t="n"/>
    </row>
    <row r="330">
      <c r="A330" s="19" t="n"/>
      <c r="B330" s="18" t="n"/>
      <c r="C330" s="19" t="n"/>
      <c r="D330" s="19" t="n"/>
      <c r="E330" s="20" t="n"/>
      <c r="F330" s="20" t="n"/>
      <c r="G330" s="19" t="n"/>
      <c r="H330" s="19" t="n"/>
      <c r="I330" s="21" t="n"/>
      <c r="J330" s="21" t="n"/>
      <c r="K330" s="22">
        <f>IF(I330="","",MAX(0,I330-J330))</f>
        <v/>
      </c>
      <c r="L330" s="19" t="n"/>
      <c r="M330" s="18" t="n"/>
      <c r="N330" s="19" t="n"/>
      <c r="O330" s="24">
        <f>IF(OR(C330="",D330=""),"",C330&amp;"|"&amp;D330&amp;"|"&amp;TEXT(I330,"0.00"))</f>
        <v/>
      </c>
      <c r="P330" s="24">
        <f>IF(OR(F330="",K330=0),0,MAX(0,TODAY()-F330))</f>
        <v/>
      </c>
      <c r="Q330" s="24">
        <f>IF(OR(L330="Paid",L330="Cancelled",F330=""),"",IF(F330&lt;TODAY(),"OVERDUE",IF(F330&lt;=TODAY()+'Setup &amp; Lists'!$M$7,"DUE SOON","")))</f>
        <v/>
      </c>
      <c r="R330" s="18" t="n"/>
    </row>
    <row r="331">
      <c r="A331" s="19" t="n"/>
      <c r="B331" s="18" t="n"/>
      <c r="C331" s="19" t="n"/>
      <c r="D331" s="19" t="n"/>
      <c r="E331" s="20" t="n"/>
      <c r="F331" s="20" t="n"/>
      <c r="G331" s="19" t="n"/>
      <c r="H331" s="19" t="n"/>
      <c r="I331" s="21" t="n"/>
      <c r="J331" s="21" t="n"/>
      <c r="K331" s="22">
        <f>IF(I331="","",MAX(0,I331-J331))</f>
        <v/>
      </c>
      <c r="L331" s="19" t="n"/>
      <c r="M331" s="18" t="n"/>
      <c r="N331" s="19" t="n"/>
      <c r="O331" s="24">
        <f>IF(OR(C331="",D331=""),"",C331&amp;"|"&amp;D331&amp;"|"&amp;TEXT(I331,"0.00"))</f>
        <v/>
      </c>
      <c r="P331" s="24">
        <f>IF(OR(F331="",K331=0),0,MAX(0,TODAY()-F331))</f>
        <v/>
      </c>
      <c r="Q331" s="24">
        <f>IF(OR(L331="Paid",L331="Cancelled",F331=""),"",IF(F331&lt;TODAY(),"OVERDUE",IF(F331&lt;=TODAY()+'Setup &amp; Lists'!$M$7,"DUE SOON","")))</f>
        <v/>
      </c>
      <c r="R331" s="18" t="n"/>
    </row>
    <row r="332">
      <c r="A332" s="19" t="n"/>
      <c r="B332" s="18" t="n"/>
      <c r="C332" s="19" t="n"/>
      <c r="D332" s="19" t="n"/>
      <c r="E332" s="20" t="n"/>
      <c r="F332" s="20" t="n"/>
      <c r="G332" s="19" t="n"/>
      <c r="H332" s="19" t="n"/>
      <c r="I332" s="21" t="n"/>
      <c r="J332" s="21" t="n"/>
      <c r="K332" s="22">
        <f>IF(I332="","",MAX(0,I332-J332))</f>
        <v/>
      </c>
      <c r="L332" s="19" t="n"/>
      <c r="M332" s="18" t="n"/>
      <c r="N332" s="19" t="n"/>
      <c r="O332" s="24">
        <f>IF(OR(C332="",D332=""),"",C332&amp;"|"&amp;D332&amp;"|"&amp;TEXT(I332,"0.00"))</f>
        <v/>
      </c>
      <c r="P332" s="24">
        <f>IF(OR(F332="",K332=0),0,MAX(0,TODAY()-F332))</f>
        <v/>
      </c>
      <c r="Q332" s="24">
        <f>IF(OR(L332="Paid",L332="Cancelled",F332=""),"",IF(F332&lt;TODAY(),"OVERDUE",IF(F332&lt;=TODAY()+'Setup &amp; Lists'!$M$7,"DUE SOON","")))</f>
        <v/>
      </c>
      <c r="R332" s="18" t="n"/>
    </row>
    <row r="333">
      <c r="A333" s="19" t="n"/>
      <c r="B333" s="18" t="n"/>
      <c r="C333" s="19" t="n"/>
      <c r="D333" s="19" t="n"/>
      <c r="E333" s="20" t="n"/>
      <c r="F333" s="20" t="n"/>
      <c r="G333" s="19" t="n"/>
      <c r="H333" s="19" t="n"/>
      <c r="I333" s="21" t="n"/>
      <c r="J333" s="21" t="n"/>
      <c r="K333" s="22">
        <f>IF(I333="","",MAX(0,I333-J333))</f>
        <v/>
      </c>
      <c r="L333" s="19" t="n"/>
      <c r="M333" s="18" t="n"/>
      <c r="N333" s="19" t="n"/>
      <c r="O333" s="24">
        <f>IF(OR(C333="",D333=""),"",C333&amp;"|"&amp;D333&amp;"|"&amp;TEXT(I333,"0.00"))</f>
        <v/>
      </c>
      <c r="P333" s="24">
        <f>IF(OR(F333="",K333=0),0,MAX(0,TODAY()-F333))</f>
        <v/>
      </c>
      <c r="Q333" s="24">
        <f>IF(OR(L333="Paid",L333="Cancelled",F333=""),"",IF(F333&lt;TODAY(),"OVERDUE",IF(F333&lt;=TODAY()+'Setup &amp; Lists'!$M$7,"DUE SOON","")))</f>
        <v/>
      </c>
      <c r="R333" s="18" t="n"/>
    </row>
    <row r="334">
      <c r="A334" s="19" t="n"/>
      <c r="B334" s="18" t="n"/>
      <c r="C334" s="19" t="n"/>
      <c r="D334" s="19" t="n"/>
      <c r="E334" s="20" t="n"/>
      <c r="F334" s="20" t="n"/>
      <c r="G334" s="19" t="n"/>
      <c r="H334" s="19" t="n"/>
      <c r="I334" s="21" t="n"/>
      <c r="J334" s="21" t="n"/>
      <c r="K334" s="22">
        <f>IF(I334="","",MAX(0,I334-J334))</f>
        <v/>
      </c>
      <c r="L334" s="19" t="n"/>
      <c r="M334" s="18" t="n"/>
      <c r="N334" s="19" t="n"/>
      <c r="O334" s="24">
        <f>IF(OR(C334="",D334=""),"",C334&amp;"|"&amp;D334&amp;"|"&amp;TEXT(I334,"0.00"))</f>
        <v/>
      </c>
      <c r="P334" s="24">
        <f>IF(OR(F334="",K334=0),0,MAX(0,TODAY()-F334))</f>
        <v/>
      </c>
      <c r="Q334" s="24">
        <f>IF(OR(L334="Paid",L334="Cancelled",F334=""),"",IF(F334&lt;TODAY(),"OVERDUE",IF(F334&lt;=TODAY()+'Setup &amp; Lists'!$M$7,"DUE SOON","")))</f>
        <v/>
      </c>
      <c r="R334" s="18" t="n"/>
    </row>
    <row r="335">
      <c r="A335" s="19" t="n"/>
      <c r="B335" s="18" t="n"/>
      <c r="C335" s="19" t="n"/>
      <c r="D335" s="19" t="n"/>
      <c r="E335" s="20" t="n"/>
      <c r="F335" s="20" t="n"/>
      <c r="G335" s="19" t="n"/>
      <c r="H335" s="19" t="n"/>
      <c r="I335" s="21" t="n"/>
      <c r="J335" s="21" t="n"/>
      <c r="K335" s="22">
        <f>IF(I335="","",MAX(0,I335-J335))</f>
        <v/>
      </c>
      <c r="L335" s="19" t="n"/>
      <c r="M335" s="18" t="n"/>
      <c r="N335" s="19" t="n"/>
      <c r="O335" s="24">
        <f>IF(OR(C335="",D335=""),"",C335&amp;"|"&amp;D335&amp;"|"&amp;TEXT(I335,"0.00"))</f>
        <v/>
      </c>
      <c r="P335" s="24">
        <f>IF(OR(F335="",K335=0),0,MAX(0,TODAY()-F335))</f>
        <v/>
      </c>
      <c r="Q335" s="24">
        <f>IF(OR(L335="Paid",L335="Cancelled",F335=""),"",IF(F335&lt;TODAY(),"OVERDUE",IF(F335&lt;=TODAY()+'Setup &amp; Lists'!$M$7,"DUE SOON","")))</f>
        <v/>
      </c>
      <c r="R335" s="18" t="n"/>
    </row>
    <row r="336">
      <c r="A336" s="19" t="n"/>
      <c r="B336" s="18" t="n"/>
      <c r="C336" s="19" t="n"/>
      <c r="D336" s="19" t="n"/>
      <c r="E336" s="20" t="n"/>
      <c r="F336" s="20" t="n"/>
      <c r="G336" s="19" t="n"/>
      <c r="H336" s="19" t="n"/>
      <c r="I336" s="21" t="n"/>
      <c r="J336" s="21" t="n"/>
      <c r="K336" s="22">
        <f>IF(I336="","",MAX(0,I336-J336))</f>
        <v/>
      </c>
      <c r="L336" s="19" t="n"/>
      <c r="M336" s="18" t="n"/>
      <c r="N336" s="19" t="n"/>
      <c r="O336" s="24">
        <f>IF(OR(C336="",D336=""),"",C336&amp;"|"&amp;D336&amp;"|"&amp;TEXT(I336,"0.00"))</f>
        <v/>
      </c>
      <c r="P336" s="24">
        <f>IF(OR(F336="",K336=0),0,MAX(0,TODAY()-F336))</f>
        <v/>
      </c>
      <c r="Q336" s="24">
        <f>IF(OR(L336="Paid",L336="Cancelled",F336=""),"",IF(F336&lt;TODAY(),"OVERDUE",IF(F336&lt;=TODAY()+'Setup &amp; Lists'!$M$7,"DUE SOON","")))</f>
        <v/>
      </c>
      <c r="R336" s="18" t="n"/>
    </row>
    <row r="337">
      <c r="A337" s="19" t="n"/>
      <c r="B337" s="18" t="n"/>
      <c r="C337" s="19" t="n"/>
      <c r="D337" s="19" t="n"/>
      <c r="E337" s="20" t="n"/>
      <c r="F337" s="20" t="n"/>
      <c r="G337" s="19" t="n"/>
      <c r="H337" s="19" t="n"/>
      <c r="I337" s="21" t="n"/>
      <c r="J337" s="21" t="n"/>
      <c r="K337" s="22">
        <f>IF(I337="","",MAX(0,I337-J337))</f>
        <v/>
      </c>
      <c r="L337" s="19" t="n"/>
      <c r="M337" s="18" t="n"/>
      <c r="N337" s="19" t="n"/>
      <c r="O337" s="24">
        <f>IF(OR(C337="",D337=""),"",C337&amp;"|"&amp;D337&amp;"|"&amp;TEXT(I337,"0.00"))</f>
        <v/>
      </c>
      <c r="P337" s="24">
        <f>IF(OR(F337="",K337=0),0,MAX(0,TODAY()-F337))</f>
        <v/>
      </c>
      <c r="Q337" s="24">
        <f>IF(OR(L337="Paid",L337="Cancelled",F337=""),"",IF(F337&lt;TODAY(),"OVERDUE",IF(F337&lt;=TODAY()+'Setup &amp; Lists'!$M$7,"DUE SOON","")))</f>
        <v/>
      </c>
      <c r="R337" s="18" t="n"/>
    </row>
    <row r="338">
      <c r="A338" s="19" t="n"/>
      <c r="B338" s="18" t="n"/>
      <c r="C338" s="19" t="n"/>
      <c r="D338" s="19" t="n"/>
      <c r="E338" s="20" t="n"/>
      <c r="F338" s="20" t="n"/>
      <c r="G338" s="19" t="n"/>
      <c r="H338" s="19" t="n"/>
      <c r="I338" s="21" t="n"/>
      <c r="J338" s="21" t="n"/>
      <c r="K338" s="22">
        <f>IF(I338="","",MAX(0,I338-J338))</f>
        <v/>
      </c>
      <c r="L338" s="19" t="n"/>
      <c r="M338" s="18" t="n"/>
      <c r="N338" s="19" t="n"/>
      <c r="O338" s="24">
        <f>IF(OR(C338="",D338=""),"",C338&amp;"|"&amp;D338&amp;"|"&amp;TEXT(I338,"0.00"))</f>
        <v/>
      </c>
      <c r="P338" s="24">
        <f>IF(OR(F338="",K338=0),0,MAX(0,TODAY()-F338))</f>
        <v/>
      </c>
      <c r="Q338" s="24">
        <f>IF(OR(L338="Paid",L338="Cancelled",F338=""),"",IF(F338&lt;TODAY(),"OVERDUE",IF(F338&lt;=TODAY()+'Setup &amp; Lists'!$M$7,"DUE SOON","")))</f>
        <v/>
      </c>
      <c r="R338" s="18" t="n"/>
    </row>
    <row r="339">
      <c r="A339" s="19" t="n"/>
      <c r="B339" s="18" t="n"/>
      <c r="C339" s="19" t="n"/>
      <c r="D339" s="19" t="n"/>
      <c r="E339" s="20" t="n"/>
      <c r="F339" s="20" t="n"/>
      <c r="G339" s="19" t="n"/>
      <c r="H339" s="19" t="n"/>
      <c r="I339" s="21" t="n"/>
      <c r="J339" s="21" t="n"/>
      <c r="K339" s="22">
        <f>IF(I339="","",MAX(0,I339-J339))</f>
        <v/>
      </c>
      <c r="L339" s="19" t="n"/>
      <c r="M339" s="18" t="n"/>
      <c r="N339" s="19" t="n"/>
      <c r="O339" s="24">
        <f>IF(OR(C339="",D339=""),"",C339&amp;"|"&amp;D339&amp;"|"&amp;TEXT(I339,"0.00"))</f>
        <v/>
      </c>
      <c r="P339" s="24">
        <f>IF(OR(F339="",K339=0),0,MAX(0,TODAY()-F339))</f>
        <v/>
      </c>
      <c r="Q339" s="24">
        <f>IF(OR(L339="Paid",L339="Cancelled",F339=""),"",IF(F339&lt;TODAY(),"OVERDUE",IF(F339&lt;=TODAY()+'Setup &amp; Lists'!$M$7,"DUE SOON","")))</f>
        <v/>
      </c>
      <c r="R339" s="18" t="n"/>
    </row>
    <row r="340">
      <c r="A340" s="19" t="n"/>
      <c r="B340" s="18" t="n"/>
      <c r="C340" s="19" t="n"/>
      <c r="D340" s="19" t="n"/>
      <c r="E340" s="20" t="n"/>
      <c r="F340" s="20" t="n"/>
      <c r="G340" s="19" t="n"/>
      <c r="H340" s="19" t="n"/>
      <c r="I340" s="21" t="n"/>
      <c r="J340" s="21" t="n"/>
      <c r="K340" s="22">
        <f>IF(I340="","",MAX(0,I340-J340))</f>
        <v/>
      </c>
      <c r="L340" s="19" t="n"/>
      <c r="M340" s="18" t="n"/>
      <c r="N340" s="19" t="n"/>
      <c r="O340" s="24">
        <f>IF(OR(C340="",D340=""),"",C340&amp;"|"&amp;D340&amp;"|"&amp;TEXT(I340,"0.00"))</f>
        <v/>
      </c>
      <c r="P340" s="24">
        <f>IF(OR(F340="",K340=0),0,MAX(0,TODAY()-F340))</f>
        <v/>
      </c>
      <c r="Q340" s="24">
        <f>IF(OR(L340="Paid",L340="Cancelled",F340=""),"",IF(F340&lt;TODAY(),"OVERDUE",IF(F340&lt;=TODAY()+'Setup &amp; Lists'!$M$7,"DUE SOON","")))</f>
        <v/>
      </c>
      <c r="R340" s="18" t="n"/>
    </row>
    <row r="341">
      <c r="A341" s="19" t="n"/>
      <c r="B341" s="18" t="n"/>
      <c r="C341" s="19" t="n"/>
      <c r="D341" s="19" t="n"/>
      <c r="E341" s="20" t="n"/>
      <c r="F341" s="20" t="n"/>
      <c r="G341" s="19" t="n"/>
      <c r="H341" s="19" t="n"/>
      <c r="I341" s="21" t="n"/>
      <c r="J341" s="21" t="n"/>
      <c r="K341" s="22">
        <f>IF(I341="","",MAX(0,I341-J341))</f>
        <v/>
      </c>
      <c r="L341" s="19" t="n"/>
      <c r="M341" s="18" t="n"/>
      <c r="N341" s="19" t="n"/>
      <c r="O341" s="24">
        <f>IF(OR(C341="",D341=""),"",C341&amp;"|"&amp;D341&amp;"|"&amp;TEXT(I341,"0.00"))</f>
        <v/>
      </c>
      <c r="P341" s="24">
        <f>IF(OR(F341="",K341=0),0,MAX(0,TODAY()-F341))</f>
        <v/>
      </c>
      <c r="Q341" s="24">
        <f>IF(OR(L341="Paid",L341="Cancelled",F341=""),"",IF(F341&lt;TODAY(),"OVERDUE",IF(F341&lt;=TODAY()+'Setup &amp; Lists'!$M$7,"DUE SOON","")))</f>
        <v/>
      </c>
      <c r="R341" s="18" t="n"/>
    </row>
    <row r="342">
      <c r="A342" s="19" t="n"/>
      <c r="B342" s="18" t="n"/>
      <c r="C342" s="19" t="n"/>
      <c r="D342" s="19" t="n"/>
      <c r="E342" s="20" t="n"/>
      <c r="F342" s="20" t="n"/>
      <c r="G342" s="19" t="n"/>
      <c r="H342" s="19" t="n"/>
      <c r="I342" s="21" t="n"/>
      <c r="J342" s="21" t="n"/>
      <c r="K342" s="22">
        <f>IF(I342="","",MAX(0,I342-J342))</f>
        <v/>
      </c>
      <c r="L342" s="19" t="n"/>
      <c r="M342" s="18" t="n"/>
      <c r="N342" s="19" t="n"/>
      <c r="O342" s="24">
        <f>IF(OR(C342="",D342=""),"",C342&amp;"|"&amp;D342&amp;"|"&amp;TEXT(I342,"0.00"))</f>
        <v/>
      </c>
      <c r="P342" s="24">
        <f>IF(OR(F342="",K342=0),0,MAX(0,TODAY()-F342))</f>
        <v/>
      </c>
      <c r="Q342" s="24">
        <f>IF(OR(L342="Paid",L342="Cancelled",F342=""),"",IF(F342&lt;TODAY(),"OVERDUE",IF(F342&lt;=TODAY()+'Setup &amp; Lists'!$M$7,"DUE SOON","")))</f>
        <v/>
      </c>
      <c r="R342" s="18" t="n"/>
    </row>
    <row r="343">
      <c r="A343" s="19" t="n"/>
      <c r="B343" s="18" t="n"/>
      <c r="C343" s="19" t="n"/>
      <c r="D343" s="19" t="n"/>
      <c r="E343" s="20" t="n"/>
      <c r="F343" s="20" t="n"/>
      <c r="G343" s="19" t="n"/>
      <c r="H343" s="19" t="n"/>
      <c r="I343" s="21" t="n"/>
      <c r="J343" s="21" t="n"/>
      <c r="K343" s="22">
        <f>IF(I343="","",MAX(0,I343-J343))</f>
        <v/>
      </c>
      <c r="L343" s="19" t="n"/>
      <c r="M343" s="18" t="n"/>
      <c r="N343" s="19" t="n"/>
      <c r="O343" s="24">
        <f>IF(OR(C343="",D343=""),"",C343&amp;"|"&amp;D343&amp;"|"&amp;TEXT(I343,"0.00"))</f>
        <v/>
      </c>
      <c r="P343" s="24">
        <f>IF(OR(F343="",K343=0),0,MAX(0,TODAY()-F343))</f>
        <v/>
      </c>
      <c r="Q343" s="24">
        <f>IF(OR(L343="Paid",L343="Cancelled",F343=""),"",IF(F343&lt;TODAY(),"OVERDUE",IF(F343&lt;=TODAY()+'Setup &amp; Lists'!$M$7,"DUE SOON","")))</f>
        <v/>
      </c>
      <c r="R343" s="18" t="n"/>
    </row>
    <row r="344">
      <c r="A344" s="19" t="n"/>
      <c r="B344" s="18" t="n"/>
      <c r="C344" s="19" t="n"/>
      <c r="D344" s="19" t="n"/>
      <c r="E344" s="20" t="n"/>
      <c r="F344" s="20" t="n"/>
      <c r="G344" s="19" t="n"/>
      <c r="H344" s="19" t="n"/>
      <c r="I344" s="21" t="n"/>
      <c r="J344" s="21" t="n"/>
      <c r="K344" s="22">
        <f>IF(I344="","",MAX(0,I344-J344))</f>
        <v/>
      </c>
      <c r="L344" s="19" t="n"/>
      <c r="M344" s="18" t="n"/>
      <c r="N344" s="19" t="n"/>
      <c r="O344" s="24">
        <f>IF(OR(C344="",D344=""),"",C344&amp;"|"&amp;D344&amp;"|"&amp;TEXT(I344,"0.00"))</f>
        <v/>
      </c>
      <c r="P344" s="24">
        <f>IF(OR(F344="",K344=0),0,MAX(0,TODAY()-F344))</f>
        <v/>
      </c>
      <c r="Q344" s="24">
        <f>IF(OR(L344="Paid",L344="Cancelled",F344=""),"",IF(F344&lt;TODAY(),"OVERDUE",IF(F344&lt;=TODAY()+'Setup &amp; Lists'!$M$7,"DUE SOON","")))</f>
        <v/>
      </c>
      <c r="R344" s="18" t="n"/>
    </row>
    <row r="345">
      <c r="A345" s="19" t="n"/>
      <c r="B345" s="18" t="n"/>
      <c r="C345" s="19" t="n"/>
      <c r="D345" s="19" t="n"/>
      <c r="E345" s="20" t="n"/>
      <c r="F345" s="20" t="n"/>
      <c r="G345" s="19" t="n"/>
      <c r="H345" s="19" t="n"/>
      <c r="I345" s="21" t="n"/>
      <c r="J345" s="21" t="n"/>
      <c r="K345" s="22">
        <f>IF(I345="","",MAX(0,I345-J345))</f>
        <v/>
      </c>
      <c r="L345" s="19" t="n"/>
      <c r="M345" s="18" t="n"/>
      <c r="N345" s="19" t="n"/>
      <c r="O345" s="24">
        <f>IF(OR(C345="",D345=""),"",C345&amp;"|"&amp;D345&amp;"|"&amp;TEXT(I345,"0.00"))</f>
        <v/>
      </c>
      <c r="P345" s="24">
        <f>IF(OR(F345="",K345=0),0,MAX(0,TODAY()-F345))</f>
        <v/>
      </c>
      <c r="Q345" s="24">
        <f>IF(OR(L345="Paid",L345="Cancelled",F345=""),"",IF(F345&lt;TODAY(),"OVERDUE",IF(F345&lt;=TODAY()+'Setup &amp; Lists'!$M$7,"DUE SOON","")))</f>
        <v/>
      </c>
      <c r="R345" s="18" t="n"/>
    </row>
    <row r="346">
      <c r="A346" s="19" t="n"/>
      <c r="B346" s="18" t="n"/>
      <c r="C346" s="19" t="n"/>
      <c r="D346" s="19" t="n"/>
      <c r="E346" s="20" t="n"/>
      <c r="F346" s="20" t="n"/>
      <c r="G346" s="19" t="n"/>
      <c r="H346" s="19" t="n"/>
      <c r="I346" s="21" t="n"/>
      <c r="J346" s="21" t="n"/>
      <c r="K346" s="22">
        <f>IF(I346="","",MAX(0,I346-J346))</f>
        <v/>
      </c>
      <c r="L346" s="19" t="n"/>
      <c r="M346" s="18" t="n"/>
      <c r="N346" s="19" t="n"/>
      <c r="O346" s="24">
        <f>IF(OR(C346="",D346=""),"",C346&amp;"|"&amp;D346&amp;"|"&amp;TEXT(I346,"0.00"))</f>
        <v/>
      </c>
      <c r="P346" s="24">
        <f>IF(OR(F346="",K346=0),0,MAX(0,TODAY()-F346))</f>
        <v/>
      </c>
      <c r="Q346" s="24">
        <f>IF(OR(L346="Paid",L346="Cancelled",F346=""),"",IF(F346&lt;TODAY(),"OVERDUE",IF(F346&lt;=TODAY()+'Setup &amp; Lists'!$M$7,"DUE SOON","")))</f>
        <v/>
      </c>
      <c r="R346" s="18" t="n"/>
    </row>
    <row r="347">
      <c r="A347" s="19" t="n"/>
      <c r="B347" s="18" t="n"/>
      <c r="C347" s="19" t="n"/>
      <c r="D347" s="19" t="n"/>
      <c r="E347" s="20" t="n"/>
      <c r="F347" s="20" t="n"/>
      <c r="G347" s="19" t="n"/>
      <c r="H347" s="19" t="n"/>
      <c r="I347" s="21" t="n"/>
      <c r="J347" s="21" t="n"/>
      <c r="K347" s="22">
        <f>IF(I347="","",MAX(0,I347-J347))</f>
        <v/>
      </c>
      <c r="L347" s="19" t="n"/>
      <c r="M347" s="18" t="n"/>
      <c r="N347" s="19" t="n"/>
      <c r="O347" s="24">
        <f>IF(OR(C347="",D347=""),"",C347&amp;"|"&amp;D347&amp;"|"&amp;TEXT(I347,"0.00"))</f>
        <v/>
      </c>
      <c r="P347" s="24">
        <f>IF(OR(F347="",K347=0),0,MAX(0,TODAY()-F347))</f>
        <v/>
      </c>
      <c r="Q347" s="24">
        <f>IF(OR(L347="Paid",L347="Cancelled",F347=""),"",IF(F347&lt;TODAY(),"OVERDUE",IF(F347&lt;=TODAY()+'Setup &amp; Lists'!$M$7,"DUE SOON","")))</f>
        <v/>
      </c>
      <c r="R347" s="18" t="n"/>
    </row>
    <row r="348">
      <c r="A348" s="19" t="n"/>
      <c r="B348" s="18" t="n"/>
      <c r="C348" s="19" t="n"/>
      <c r="D348" s="19" t="n"/>
      <c r="E348" s="20" t="n"/>
      <c r="F348" s="20" t="n"/>
      <c r="G348" s="19" t="n"/>
      <c r="H348" s="19" t="n"/>
      <c r="I348" s="21" t="n"/>
      <c r="J348" s="21" t="n"/>
      <c r="K348" s="22">
        <f>IF(I348="","",MAX(0,I348-J348))</f>
        <v/>
      </c>
      <c r="L348" s="19" t="n"/>
      <c r="M348" s="18" t="n"/>
      <c r="N348" s="19" t="n"/>
      <c r="O348" s="24">
        <f>IF(OR(C348="",D348=""),"",C348&amp;"|"&amp;D348&amp;"|"&amp;TEXT(I348,"0.00"))</f>
        <v/>
      </c>
      <c r="P348" s="24">
        <f>IF(OR(F348="",K348=0),0,MAX(0,TODAY()-F348))</f>
        <v/>
      </c>
      <c r="Q348" s="24">
        <f>IF(OR(L348="Paid",L348="Cancelled",F348=""),"",IF(F348&lt;TODAY(),"OVERDUE",IF(F348&lt;=TODAY()+'Setup &amp; Lists'!$M$7,"DUE SOON","")))</f>
        <v/>
      </c>
      <c r="R348" s="18" t="n"/>
    </row>
    <row r="349">
      <c r="A349" s="19" t="n"/>
      <c r="B349" s="18" t="n"/>
      <c r="C349" s="19" t="n"/>
      <c r="D349" s="19" t="n"/>
      <c r="E349" s="20" t="n"/>
      <c r="F349" s="20" t="n"/>
      <c r="G349" s="19" t="n"/>
      <c r="H349" s="19" t="n"/>
      <c r="I349" s="21" t="n"/>
      <c r="J349" s="21" t="n"/>
      <c r="K349" s="22">
        <f>IF(I349="","",MAX(0,I349-J349))</f>
        <v/>
      </c>
      <c r="L349" s="19" t="n"/>
      <c r="M349" s="18" t="n"/>
      <c r="N349" s="19" t="n"/>
      <c r="O349" s="24">
        <f>IF(OR(C349="",D349=""),"",C349&amp;"|"&amp;D349&amp;"|"&amp;TEXT(I349,"0.00"))</f>
        <v/>
      </c>
      <c r="P349" s="24">
        <f>IF(OR(F349="",K349=0),0,MAX(0,TODAY()-F349))</f>
        <v/>
      </c>
      <c r="Q349" s="24">
        <f>IF(OR(L349="Paid",L349="Cancelled",F349=""),"",IF(F349&lt;TODAY(),"OVERDUE",IF(F349&lt;=TODAY()+'Setup &amp; Lists'!$M$7,"DUE SOON","")))</f>
        <v/>
      </c>
      <c r="R349" s="18" t="n"/>
    </row>
    <row r="350">
      <c r="A350" s="19" t="n"/>
      <c r="B350" s="18" t="n"/>
      <c r="C350" s="19" t="n"/>
      <c r="D350" s="19" t="n"/>
      <c r="E350" s="20" t="n"/>
      <c r="F350" s="20" t="n"/>
      <c r="G350" s="19" t="n"/>
      <c r="H350" s="19" t="n"/>
      <c r="I350" s="21" t="n"/>
      <c r="J350" s="21" t="n"/>
      <c r="K350" s="22">
        <f>IF(I350="","",MAX(0,I350-J350))</f>
        <v/>
      </c>
      <c r="L350" s="19" t="n"/>
      <c r="M350" s="18" t="n"/>
      <c r="N350" s="19" t="n"/>
      <c r="O350" s="24">
        <f>IF(OR(C350="",D350=""),"",C350&amp;"|"&amp;D350&amp;"|"&amp;TEXT(I350,"0.00"))</f>
        <v/>
      </c>
      <c r="P350" s="24">
        <f>IF(OR(F350="",K350=0),0,MAX(0,TODAY()-F350))</f>
        <v/>
      </c>
      <c r="Q350" s="24">
        <f>IF(OR(L350="Paid",L350="Cancelled",F350=""),"",IF(F350&lt;TODAY(),"OVERDUE",IF(F350&lt;=TODAY()+'Setup &amp; Lists'!$M$7,"DUE SOON","")))</f>
        <v/>
      </c>
      <c r="R350" s="18" t="n"/>
    </row>
    <row r="351">
      <c r="A351" s="19" t="n"/>
      <c r="B351" s="18" t="n"/>
      <c r="C351" s="19" t="n"/>
      <c r="D351" s="19" t="n"/>
      <c r="E351" s="20" t="n"/>
      <c r="F351" s="20" t="n"/>
      <c r="G351" s="19" t="n"/>
      <c r="H351" s="19" t="n"/>
      <c r="I351" s="21" t="n"/>
      <c r="J351" s="21" t="n"/>
      <c r="K351" s="22">
        <f>IF(I351="","",MAX(0,I351-J351))</f>
        <v/>
      </c>
      <c r="L351" s="19" t="n"/>
      <c r="M351" s="18" t="n"/>
      <c r="N351" s="19" t="n"/>
      <c r="O351" s="24">
        <f>IF(OR(C351="",D351=""),"",C351&amp;"|"&amp;D351&amp;"|"&amp;TEXT(I351,"0.00"))</f>
        <v/>
      </c>
      <c r="P351" s="24">
        <f>IF(OR(F351="",K351=0),0,MAX(0,TODAY()-F351))</f>
        <v/>
      </c>
      <c r="Q351" s="24">
        <f>IF(OR(L351="Paid",L351="Cancelled",F351=""),"",IF(F351&lt;TODAY(),"OVERDUE",IF(F351&lt;=TODAY()+'Setup &amp; Lists'!$M$7,"DUE SOON","")))</f>
        <v/>
      </c>
      <c r="R351" s="18" t="n"/>
    </row>
    <row r="352">
      <c r="A352" s="19" t="n"/>
      <c r="B352" s="18" t="n"/>
      <c r="C352" s="19" t="n"/>
      <c r="D352" s="19" t="n"/>
      <c r="E352" s="20" t="n"/>
      <c r="F352" s="20" t="n"/>
      <c r="G352" s="19" t="n"/>
      <c r="H352" s="19" t="n"/>
      <c r="I352" s="21" t="n"/>
      <c r="J352" s="21" t="n"/>
      <c r="K352" s="22">
        <f>IF(I352="","",MAX(0,I352-J352))</f>
        <v/>
      </c>
      <c r="L352" s="19" t="n"/>
      <c r="M352" s="18" t="n"/>
      <c r="N352" s="19" t="n"/>
      <c r="O352" s="24">
        <f>IF(OR(C352="",D352=""),"",C352&amp;"|"&amp;D352&amp;"|"&amp;TEXT(I352,"0.00"))</f>
        <v/>
      </c>
      <c r="P352" s="24">
        <f>IF(OR(F352="",K352=0),0,MAX(0,TODAY()-F352))</f>
        <v/>
      </c>
      <c r="Q352" s="24">
        <f>IF(OR(L352="Paid",L352="Cancelled",F352=""),"",IF(F352&lt;TODAY(),"OVERDUE",IF(F352&lt;=TODAY()+'Setup &amp; Lists'!$M$7,"DUE SOON","")))</f>
        <v/>
      </c>
      <c r="R352" s="18" t="n"/>
    </row>
    <row r="353">
      <c r="A353" s="19" t="n"/>
      <c r="B353" s="18" t="n"/>
      <c r="C353" s="19" t="n"/>
      <c r="D353" s="19" t="n"/>
      <c r="E353" s="20" t="n"/>
      <c r="F353" s="20" t="n"/>
      <c r="G353" s="19" t="n"/>
      <c r="H353" s="19" t="n"/>
      <c r="I353" s="21" t="n"/>
      <c r="J353" s="21" t="n"/>
      <c r="K353" s="22">
        <f>IF(I353="","",MAX(0,I353-J353))</f>
        <v/>
      </c>
      <c r="L353" s="19" t="n"/>
      <c r="M353" s="18" t="n"/>
      <c r="N353" s="19" t="n"/>
      <c r="O353" s="24">
        <f>IF(OR(C353="",D353=""),"",C353&amp;"|"&amp;D353&amp;"|"&amp;TEXT(I353,"0.00"))</f>
        <v/>
      </c>
      <c r="P353" s="24">
        <f>IF(OR(F353="",K353=0),0,MAX(0,TODAY()-F353))</f>
        <v/>
      </c>
      <c r="Q353" s="24">
        <f>IF(OR(L353="Paid",L353="Cancelled",F353=""),"",IF(F353&lt;TODAY(),"OVERDUE",IF(F353&lt;=TODAY()+'Setup &amp; Lists'!$M$7,"DUE SOON","")))</f>
        <v/>
      </c>
      <c r="R353" s="18" t="n"/>
    </row>
    <row r="354">
      <c r="A354" s="19" t="n"/>
      <c r="B354" s="18" t="n"/>
      <c r="C354" s="19" t="n"/>
      <c r="D354" s="19" t="n"/>
      <c r="E354" s="20" t="n"/>
      <c r="F354" s="20" t="n"/>
      <c r="G354" s="19" t="n"/>
      <c r="H354" s="19" t="n"/>
      <c r="I354" s="21" t="n"/>
      <c r="J354" s="21" t="n"/>
      <c r="K354" s="22">
        <f>IF(I354="","",MAX(0,I354-J354))</f>
        <v/>
      </c>
      <c r="L354" s="19" t="n"/>
      <c r="M354" s="18" t="n"/>
      <c r="N354" s="19" t="n"/>
      <c r="O354" s="24">
        <f>IF(OR(C354="",D354=""),"",C354&amp;"|"&amp;D354&amp;"|"&amp;TEXT(I354,"0.00"))</f>
        <v/>
      </c>
      <c r="P354" s="24">
        <f>IF(OR(F354="",K354=0),0,MAX(0,TODAY()-F354))</f>
        <v/>
      </c>
      <c r="Q354" s="24">
        <f>IF(OR(L354="Paid",L354="Cancelled",F354=""),"",IF(F354&lt;TODAY(),"OVERDUE",IF(F354&lt;=TODAY()+'Setup &amp; Lists'!$M$7,"DUE SOON","")))</f>
        <v/>
      </c>
      <c r="R354" s="18" t="n"/>
    </row>
    <row r="355">
      <c r="A355" s="19" t="n"/>
      <c r="B355" s="18" t="n"/>
      <c r="C355" s="19" t="n"/>
      <c r="D355" s="19" t="n"/>
      <c r="E355" s="20" t="n"/>
      <c r="F355" s="20" t="n"/>
      <c r="G355" s="19" t="n"/>
      <c r="H355" s="19" t="n"/>
      <c r="I355" s="21" t="n"/>
      <c r="J355" s="21" t="n"/>
      <c r="K355" s="22">
        <f>IF(I355="","",MAX(0,I355-J355))</f>
        <v/>
      </c>
      <c r="L355" s="19" t="n"/>
      <c r="M355" s="18" t="n"/>
      <c r="N355" s="19" t="n"/>
      <c r="O355" s="24">
        <f>IF(OR(C355="",D355=""),"",C355&amp;"|"&amp;D355&amp;"|"&amp;TEXT(I355,"0.00"))</f>
        <v/>
      </c>
      <c r="P355" s="24">
        <f>IF(OR(F355="",K355=0),0,MAX(0,TODAY()-F355))</f>
        <v/>
      </c>
      <c r="Q355" s="24">
        <f>IF(OR(L355="Paid",L355="Cancelled",F355=""),"",IF(F355&lt;TODAY(),"OVERDUE",IF(F355&lt;=TODAY()+'Setup &amp; Lists'!$M$7,"DUE SOON","")))</f>
        <v/>
      </c>
      <c r="R355" s="18" t="n"/>
    </row>
    <row r="356">
      <c r="A356" s="19" t="n"/>
      <c r="B356" s="18" t="n"/>
      <c r="C356" s="19" t="n"/>
      <c r="D356" s="19" t="n"/>
      <c r="E356" s="20" t="n"/>
      <c r="F356" s="20" t="n"/>
      <c r="G356" s="19" t="n"/>
      <c r="H356" s="19" t="n"/>
      <c r="I356" s="21" t="n"/>
      <c r="J356" s="21" t="n"/>
      <c r="K356" s="22">
        <f>IF(I356="","",MAX(0,I356-J356))</f>
        <v/>
      </c>
      <c r="L356" s="19" t="n"/>
      <c r="M356" s="18" t="n"/>
      <c r="N356" s="19" t="n"/>
      <c r="O356" s="24">
        <f>IF(OR(C356="",D356=""),"",C356&amp;"|"&amp;D356&amp;"|"&amp;TEXT(I356,"0.00"))</f>
        <v/>
      </c>
      <c r="P356" s="24">
        <f>IF(OR(F356="",K356=0),0,MAX(0,TODAY()-F356))</f>
        <v/>
      </c>
      <c r="Q356" s="24">
        <f>IF(OR(L356="Paid",L356="Cancelled",F356=""),"",IF(F356&lt;TODAY(),"OVERDUE",IF(F356&lt;=TODAY()+'Setup &amp; Lists'!$M$7,"DUE SOON","")))</f>
        <v/>
      </c>
      <c r="R356" s="18" t="n"/>
    </row>
    <row r="357">
      <c r="A357" s="19" t="n"/>
      <c r="B357" s="18" t="n"/>
      <c r="C357" s="19" t="n"/>
      <c r="D357" s="19" t="n"/>
      <c r="E357" s="20" t="n"/>
      <c r="F357" s="20" t="n"/>
      <c r="G357" s="19" t="n"/>
      <c r="H357" s="19" t="n"/>
      <c r="I357" s="21" t="n"/>
      <c r="J357" s="21" t="n"/>
      <c r="K357" s="22">
        <f>IF(I357="","",MAX(0,I357-J357))</f>
        <v/>
      </c>
      <c r="L357" s="19" t="n"/>
      <c r="M357" s="18" t="n"/>
      <c r="N357" s="19" t="n"/>
      <c r="O357" s="24">
        <f>IF(OR(C357="",D357=""),"",C357&amp;"|"&amp;D357&amp;"|"&amp;TEXT(I357,"0.00"))</f>
        <v/>
      </c>
      <c r="P357" s="24">
        <f>IF(OR(F357="",K357=0),0,MAX(0,TODAY()-F357))</f>
        <v/>
      </c>
      <c r="Q357" s="24">
        <f>IF(OR(L357="Paid",L357="Cancelled",F357=""),"",IF(F357&lt;TODAY(),"OVERDUE",IF(F357&lt;=TODAY()+'Setup &amp; Lists'!$M$7,"DUE SOON","")))</f>
        <v/>
      </c>
      <c r="R357" s="18" t="n"/>
    </row>
    <row r="358">
      <c r="A358" s="19" t="n"/>
      <c r="B358" s="18" t="n"/>
      <c r="C358" s="19" t="n"/>
      <c r="D358" s="19" t="n"/>
      <c r="E358" s="20" t="n"/>
      <c r="F358" s="20" t="n"/>
      <c r="G358" s="19" t="n"/>
      <c r="H358" s="19" t="n"/>
      <c r="I358" s="21" t="n"/>
      <c r="J358" s="21" t="n"/>
      <c r="K358" s="22">
        <f>IF(I358="","",MAX(0,I358-J358))</f>
        <v/>
      </c>
      <c r="L358" s="19" t="n"/>
      <c r="M358" s="18" t="n"/>
      <c r="N358" s="19" t="n"/>
      <c r="O358" s="24">
        <f>IF(OR(C358="",D358=""),"",C358&amp;"|"&amp;D358&amp;"|"&amp;TEXT(I358,"0.00"))</f>
        <v/>
      </c>
      <c r="P358" s="24">
        <f>IF(OR(F358="",K358=0),0,MAX(0,TODAY()-F358))</f>
        <v/>
      </c>
      <c r="Q358" s="24">
        <f>IF(OR(L358="Paid",L358="Cancelled",F358=""),"",IF(F358&lt;TODAY(),"OVERDUE",IF(F358&lt;=TODAY()+'Setup &amp; Lists'!$M$7,"DUE SOON","")))</f>
        <v/>
      </c>
      <c r="R358" s="18" t="n"/>
    </row>
    <row r="359">
      <c r="A359" s="19" t="n"/>
      <c r="B359" s="18" t="n"/>
      <c r="C359" s="19" t="n"/>
      <c r="D359" s="19" t="n"/>
      <c r="E359" s="20" t="n"/>
      <c r="F359" s="20" t="n"/>
      <c r="G359" s="19" t="n"/>
      <c r="H359" s="19" t="n"/>
      <c r="I359" s="21" t="n"/>
      <c r="J359" s="21" t="n"/>
      <c r="K359" s="22">
        <f>IF(I359="","",MAX(0,I359-J359))</f>
        <v/>
      </c>
      <c r="L359" s="19" t="n"/>
      <c r="M359" s="18" t="n"/>
      <c r="N359" s="19" t="n"/>
      <c r="O359" s="24">
        <f>IF(OR(C359="",D359=""),"",C359&amp;"|"&amp;D359&amp;"|"&amp;TEXT(I359,"0.00"))</f>
        <v/>
      </c>
      <c r="P359" s="24">
        <f>IF(OR(F359="",K359=0),0,MAX(0,TODAY()-F359))</f>
        <v/>
      </c>
      <c r="Q359" s="24">
        <f>IF(OR(L359="Paid",L359="Cancelled",F359=""),"",IF(F359&lt;TODAY(),"OVERDUE",IF(F359&lt;=TODAY()+'Setup &amp; Lists'!$M$7,"DUE SOON","")))</f>
        <v/>
      </c>
      <c r="R359" s="18" t="n"/>
    </row>
    <row r="360">
      <c r="A360" s="19" t="n"/>
      <c r="B360" s="18" t="n"/>
      <c r="C360" s="19" t="n"/>
      <c r="D360" s="19" t="n"/>
      <c r="E360" s="20" t="n"/>
      <c r="F360" s="20" t="n"/>
      <c r="G360" s="19" t="n"/>
      <c r="H360" s="19" t="n"/>
      <c r="I360" s="21" t="n"/>
      <c r="J360" s="21" t="n"/>
      <c r="K360" s="22">
        <f>IF(I360="","",MAX(0,I360-J360))</f>
        <v/>
      </c>
      <c r="L360" s="19" t="n"/>
      <c r="M360" s="18" t="n"/>
      <c r="N360" s="19" t="n"/>
      <c r="O360" s="24">
        <f>IF(OR(C360="",D360=""),"",C360&amp;"|"&amp;D360&amp;"|"&amp;TEXT(I360,"0.00"))</f>
        <v/>
      </c>
      <c r="P360" s="24">
        <f>IF(OR(F360="",K360=0),0,MAX(0,TODAY()-F360))</f>
        <v/>
      </c>
      <c r="Q360" s="24">
        <f>IF(OR(L360="Paid",L360="Cancelled",F360=""),"",IF(F360&lt;TODAY(),"OVERDUE",IF(F360&lt;=TODAY()+'Setup &amp; Lists'!$M$7,"DUE SOON","")))</f>
        <v/>
      </c>
      <c r="R360" s="18" t="n"/>
    </row>
    <row r="361">
      <c r="A361" s="19" t="n"/>
      <c r="B361" s="18" t="n"/>
      <c r="C361" s="19" t="n"/>
      <c r="D361" s="19" t="n"/>
      <c r="E361" s="20" t="n"/>
      <c r="F361" s="20" t="n"/>
      <c r="G361" s="19" t="n"/>
      <c r="H361" s="19" t="n"/>
      <c r="I361" s="21" t="n"/>
      <c r="J361" s="21" t="n"/>
      <c r="K361" s="22">
        <f>IF(I361="","",MAX(0,I361-J361))</f>
        <v/>
      </c>
      <c r="L361" s="19" t="n"/>
      <c r="M361" s="18" t="n"/>
      <c r="N361" s="19" t="n"/>
      <c r="O361" s="24">
        <f>IF(OR(C361="",D361=""),"",C361&amp;"|"&amp;D361&amp;"|"&amp;TEXT(I361,"0.00"))</f>
        <v/>
      </c>
      <c r="P361" s="24">
        <f>IF(OR(F361="",K361=0),0,MAX(0,TODAY()-F361))</f>
        <v/>
      </c>
      <c r="Q361" s="24">
        <f>IF(OR(L361="Paid",L361="Cancelled",F361=""),"",IF(F361&lt;TODAY(),"OVERDUE",IF(F361&lt;=TODAY()+'Setup &amp; Lists'!$M$7,"DUE SOON","")))</f>
        <v/>
      </c>
      <c r="R361" s="18" t="n"/>
    </row>
    <row r="362">
      <c r="A362" s="19" t="n"/>
      <c r="B362" s="18" t="n"/>
      <c r="C362" s="19" t="n"/>
      <c r="D362" s="19" t="n"/>
      <c r="E362" s="20" t="n"/>
      <c r="F362" s="20" t="n"/>
      <c r="G362" s="19" t="n"/>
      <c r="H362" s="19" t="n"/>
      <c r="I362" s="21" t="n"/>
      <c r="J362" s="21" t="n"/>
      <c r="K362" s="22">
        <f>IF(I362="","",MAX(0,I362-J362))</f>
        <v/>
      </c>
      <c r="L362" s="19" t="n"/>
      <c r="M362" s="18" t="n"/>
      <c r="N362" s="19" t="n"/>
      <c r="O362" s="24">
        <f>IF(OR(C362="",D362=""),"",C362&amp;"|"&amp;D362&amp;"|"&amp;TEXT(I362,"0.00"))</f>
        <v/>
      </c>
      <c r="P362" s="24">
        <f>IF(OR(F362="",K362=0),0,MAX(0,TODAY()-F362))</f>
        <v/>
      </c>
      <c r="Q362" s="24">
        <f>IF(OR(L362="Paid",L362="Cancelled",F362=""),"",IF(F362&lt;TODAY(),"OVERDUE",IF(F362&lt;=TODAY()+'Setup &amp; Lists'!$M$7,"DUE SOON","")))</f>
        <v/>
      </c>
      <c r="R362" s="18" t="n"/>
    </row>
    <row r="363">
      <c r="A363" s="19" t="n"/>
      <c r="B363" s="18" t="n"/>
      <c r="C363" s="19" t="n"/>
      <c r="D363" s="19" t="n"/>
      <c r="E363" s="20" t="n"/>
      <c r="F363" s="20" t="n"/>
      <c r="G363" s="19" t="n"/>
      <c r="H363" s="19" t="n"/>
      <c r="I363" s="21" t="n"/>
      <c r="J363" s="21" t="n"/>
      <c r="K363" s="22">
        <f>IF(I363="","",MAX(0,I363-J363))</f>
        <v/>
      </c>
      <c r="L363" s="19" t="n"/>
      <c r="M363" s="18" t="n"/>
      <c r="N363" s="19" t="n"/>
      <c r="O363" s="24">
        <f>IF(OR(C363="",D363=""),"",C363&amp;"|"&amp;D363&amp;"|"&amp;TEXT(I363,"0.00"))</f>
        <v/>
      </c>
      <c r="P363" s="24">
        <f>IF(OR(F363="",K363=0),0,MAX(0,TODAY()-F363))</f>
        <v/>
      </c>
      <c r="Q363" s="24">
        <f>IF(OR(L363="Paid",L363="Cancelled",F363=""),"",IF(F363&lt;TODAY(),"OVERDUE",IF(F363&lt;=TODAY()+'Setup &amp; Lists'!$M$7,"DUE SOON","")))</f>
        <v/>
      </c>
      <c r="R363" s="18" t="n"/>
    </row>
    <row r="364">
      <c r="A364" s="19" t="n"/>
      <c r="B364" s="18" t="n"/>
      <c r="C364" s="19" t="n"/>
      <c r="D364" s="19" t="n"/>
      <c r="E364" s="20" t="n"/>
      <c r="F364" s="20" t="n"/>
      <c r="G364" s="19" t="n"/>
      <c r="H364" s="19" t="n"/>
      <c r="I364" s="21" t="n"/>
      <c r="J364" s="21" t="n"/>
      <c r="K364" s="22">
        <f>IF(I364="","",MAX(0,I364-J364))</f>
        <v/>
      </c>
      <c r="L364" s="19" t="n"/>
      <c r="M364" s="18" t="n"/>
      <c r="N364" s="19" t="n"/>
      <c r="O364" s="24">
        <f>IF(OR(C364="",D364=""),"",C364&amp;"|"&amp;D364&amp;"|"&amp;TEXT(I364,"0.00"))</f>
        <v/>
      </c>
      <c r="P364" s="24">
        <f>IF(OR(F364="",K364=0),0,MAX(0,TODAY()-F364))</f>
        <v/>
      </c>
      <c r="Q364" s="24">
        <f>IF(OR(L364="Paid",L364="Cancelled",F364=""),"",IF(F364&lt;TODAY(),"OVERDUE",IF(F364&lt;=TODAY()+'Setup &amp; Lists'!$M$7,"DUE SOON","")))</f>
        <v/>
      </c>
      <c r="R364" s="18" t="n"/>
    </row>
    <row r="365">
      <c r="A365" s="19" t="n"/>
      <c r="B365" s="18" t="n"/>
      <c r="C365" s="19" t="n"/>
      <c r="D365" s="19" t="n"/>
      <c r="E365" s="20" t="n"/>
      <c r="F365" s="20" t="n"/>
      <c r="G365" s="19" t="n"/>
      <c r="H365" s="19" t="n"/>
      <c r="I365" s="21" t="n"/>
      <c r="J365" s="21" t="n"/>
      <c r="K365" s="22">
        <f>IF(I365="","",MAX(0,I365-J365))</f>
        <v/>
      </c>
      <c r="L365" s="19" t="n"/>
      <c r="M365" s="18" t="n"/>
      <c r="N365" s="19" t="n"/>
      <c r="O365" s="24">
        <f>IF(OR(C365="",D365=""),"",C365&amp;"|"&amp;D365&amp;"|"&amp;TEXT(I365,"0.00"))</f>
        <v/>
      </c>
      <c r="P365" s="24">
        <f>IF(OR(F365="",K365=0),0,MAX(0,TODAY()-F365))</f>
        <v/>
      </c>
      <c r="Q365" s="24">
        <f>IF(OR(L365="Paid",L365="Cancelled",F365=""),"",IF(F365&lt;TODAY(),"OVERDUE",IF(F365&lt;=TODAY()+'Setup &amp; Lists'!$M$7,"DUE SOON","")))</f>
        <v/>
      </c>
      <c r="R365" s="18" t="n"/>
    </row>
    <row r="366">
      <c r="A366" s="19" t="n"/>
      <c r="B366" s="18" t="n"/>
      <c r="C366" s="19" t="n"/>
      <c r="D366" s="19" t="n"/>
      <c r="E366" s="20" t="n"/>
      <c r="F366" s="20" t="n"/>
      <c r="G366" s="19" t="n"/>
      <c r="H366" s="19" t="n"/>
      <c r="I366" s="21" t="n"/>
      <c r="J366" s="21" t="n"/>
      <c r="K366" s="22">
        <f>IF(I366="","",MAX(0,I366-J366))</f>
        <v/>
      </c>
      <c r="L366" s="19" t="n"/>
      <c r="M366" s="18" t="n"/>
      <c r="N366" s="19" t="n"/>
      <c r="O366" s="24">
        <f>IF(OR(C366="",D366=""),"",C366&amp;"|"&amp;D366&amp;"|"&amp;TEXT(I366,"0.00"))</f>
        <v/>
      </c>
      <c r="P366" s="24">
        <f>IF(OR(F366="",K366=0),0,MAX(0,TODAY()-F366))</f>
        <v/>
      </c>
      <c r="Q366" s="24">
        <f>IF(OR(L366="Paid",L366="Cancelled",F366=""),"",IF(F366&lt;TODAY(),"OVERDUE",IF(F366&lt;=TODAY()+'Setup &amp; Lists'!$M$7,"DUE SOON","")))</f>
        <v/>
      </c>
      <c r="R366" s="18" t="n"/>
    </row>
    <row r="367">
      <c r="A367" s="19" t="n"/>
      <c r="B367" s="18" t="n"/>
      <c r="C367" s="19" t="n"/>
      <c r="D367" s="19" t="n"/>
      <c r="E367" s="20" t="n"/>
      <c r="F367" s="20" t="n"/>
      <c r="G367" s="19" t="n"/>
      <c r="H367" s="19" t="n"/>
      <c r="I367" s="21" t="n"/>
      <c r="J367" s="21" t="n"/>
      <c r="K367" s="22">
        <f>IF(I367="","",MAX(0,I367-J367))</f>
        <v/>
      </c>
      <c r="L367" s="19" t="n"/>
      <c r="M367" s="18" t="n"/>
      <c r="N367" s="19" t="n"/>
      <c r="O367" s="24">
        <f>IF(OR(C367="",D367=""),"",C367&amp;"|"&amp;D367&amp;"|"&amp;TEXT(I367,"0.00"))</f>
        <v/>
      </c>
      <c r="P367" s="24">
        <f>IF(OR(F367="",K367=0),0,MAX(0,TODAY()-F367))</f>
        <v/>
      </c>
      <c r="Q367" s="24">
        <f>IF(OR(L367="Paid",L367="Cancelled",F367=""),"",IF(F367&lt;TODAY(),"OVERDUE",IF(F367&lt;=TODAY()+'Setup &amp; Lists'!$M$7,"DUE SOON","")))</f>
        <v/>
      </c>
      <c r="R367" s="18" t="n"/>
    </row>
    <row r="368">
      <c r="A368" s="19" t="n"/>
      <c r="B368" s="18" t="n"/>
      <c r="C368" s="19" t="n"/>
      <c r="D368" s="19" t="n"/>
      <c r="E368" s="20" t="n"/>
      <c r="F368" s="20" t="n"/>
      <c r="G368" s="19" t="n"/>
      <c r="H368" s="19" t="n"/>
      <c r="I368" s="21" t="n"/>
      <c r="J368" s="21" t="n"/>
      <c r="K368" s="22">
        <f>IF(I368="","",MAX(0,I368-J368))</f>
        <v/>
      </c>
      <c r="L368" s="19" t="n"/>
      <c r="M368" s="18" t="n"/>
      <c r="N368" s="19" t="n"/>
      <c r="O368" s="24">
        <f>IF(OR(C368="",D368=""),"",C368&amp;"|"&amp;D368&amp;"|"&amp;TEXT(I368,"0.00"))</f>
        <v/>
      </c>
      <c r="P368" s="24">
        <f>IF(OR(F368="",K368=0),0,MAX(0,TODAY()-F368))</f>
        <v/>
      </c>
      <c r="Q368" s="24">
        <f>IF(OR(L368="Paid",L368="Cancelled",F368=""),"",IF(F368&lt;TODAY(),"OVERDUE",IF(F368&lt;=TODAY()+'Setup &amp; Lists'!$M$7,"DUE SOON","")))</f>
        <v/>
      </c>
      <c r="R368" s="18" t="n"/>
    </row>
    <row r="369">
      <c r="A369" s="19" t="n"/>
      <c r="B369" s="18" t="n"/>
      <c r="C369" s="19" t="n"/>
      <c r="D369" s="19" t="n"/>
      <c r="E369" s="20" t="n"/>
      <c r="F369" s="20" t="n"/>
      <c r="G369" s="19" t="n"/>
      <c r="H369" s="19" t="n"/>
      <c r="I369" s="21" t="n"/>
      <c r="J369" s="21" t="n"/>
      <c r="K369" s="22">
        <f>IF(I369="","",MAX(0,I369-J369))</f>
        <v/>
      </c>
      <c r="L369" s="19" t="n"/>
      <c r="M369" s="18" t="n"/>
      <c r="N369" s="19" t="n"/>
      <c r="O369" s="24">
        <f>IF(OR(C369="",D369=""),"",C369&amp;"|"&amp;D369&amp;"|"&amp;TEXT(I369,"0.00"))</f>
        <v/>
      </c>
      <c r="P369" s="24">
        <f>IF(OR(F369="",K369=0),0,MAX(0,TODAY()-F369))</f>
        <v/>
      </c>
      <c r="Q369" s="24">
        <f>IF(OR(L369="Paid",L369="Cancelled",F369=""),"",IF(F369&lt;TODAY(),"OVERDUE",IF(F369&lt;=TODAY()+'Setup &amp; Lists'!$M$7,"DUE SOON","")))</f>
        <v/>
      </c>
      <c r="R369" s="18" t="n"/>
    </row>
    <row r="370">
      <c r="A370" s="19" t="n"/>
      <c r="B370" s="18" t="n"/>
      <c r="C370" s="19" t="n"/>
      <c r="D370" s="19" t="n"/>
      <c r="E370" s="20" t="n"/>
      <c r="F370" s="20" t="n"/>
      <c r="G370" s="19" t="n"/>
      <c r="H370" s="19" t="n"/>
      <c r="I370" s="21" t="n"/>
      <c r="J370" s="21" t="n"/>
      <c r="K370" s="22">
        <f>IF(I370="","",MAX(0,I370-J370))</f>
        <v/>
      </c>
      <c r="L370" s="19" t="n"/>
      <c r="M370" s="18" t="n"/>
      <c r="N370" s="19" t="n"/>
      <c r="O370" s="24">
        <f>IF(OR(C370="",D370=""),"",C370&amp;"|"&amp;D370&amp;"|"&amp;TEXT(I370,"0.00"))</f>
        <v/>
      </c>
      <c r="P370" s="24">
        <f>IF(OR(F370="",K370=0),0,MAX(0,TODAY()-F370))</f>
        <v/>
      </c>
      <c r="Q370" s="24">
        <f>IF(OR(L370="Paid",L370="Cancelled",F370=""),"",IF(F370&lt;TODAY(),"OVERDUE",IF(F370&lt;=TODAY()+'Setup &amp; Lists'!$M$7,"DUE SOON","")))</f>
        <v/>
      </c>
      <c r="R370" s="18" t="n"/>
    </row>
    <row r="371">
      <c r="A371" s="19" t="n"/>
      <c r="B371" s="18" t="n"/>
      <c r="C371" s="19" t="n"/>
      <c r="D371" s="19" t="n"/>
      <c r="E371" s="20" t="n"/>
      <c r="F371" s="20" t="n"/>
      <c r="G371" s="19" t="n"/>
      <c r="H371" s="19" t="n"/>
      <c r="I371" s="21" t="n"/>
      <c r="J371" s="21" t="n"/>
      <c r="K371" s="22">
        <f>IF(I371="","",MAX(0,I371-J371))</f>
        <v/>
      </c>
      <c r="L371" s="19" t="n"/>
      <c r="M371" s="18" t="n"/>
      <c r="N371" s="19" t="n"/>
      <c r="O371" s="24">
        <f>IF(OR(C371="",D371=""),"",C371&amp;"|"&amp;D371&amp;"|"&amp;TEXT(I371,"0.00"))</f>
        <v/>
      </c>
      <c r="P371" s="24">
        <f>IF(OR(F371="",K371=0),0,MAX(0,TODAY()-F371))</f>
        <v/>
      </c>
      <c r="Q371" s="24">
        <f>IF(OR(L371="Paid",L371="Cancelled",F371=""),"",IF(F371&lt;TODAY(),"OVERDUE",IF(F371&lt;=TODAY()+'Setup &amp; Lists'!$M$7,"DUE SOON","")))</f>
        <v/>
      </c>
      <c r="R371" s="18" t="n"/>
    </row>
    <row r="372">
      <c r="A372" s="19" t="n"/>
      <c r="B372" s="18" t="n"/>
      <c r="C372" s="19" t="n"/>
      <c r="D372" s="19" t="n"/>
      <c r="E372" s="20" t="n"/>
      <c r="F372" s="20" t="n"/>
      <c r="G372" s="19" t="n"/>
      <c r="H372" s="19" t="n"/>
      <c r="I372" s="21" t="n"/>
      <c r="J372" s="21" t="n"/>
      <c r="K372" s="22">
        <f>IF(I372="","",MAX(0,I372-J372))</f>
        <v/>
      </c>
      <c r="L372" s="19" t="n"/>
      <c r="M372" s="18" t="n"/>
      <c r="N372" s="19" t="n"/>
      <c r="O372" s="24">
        <f>IF(OR(C372="",D372=""),"",C372&amp;"|"&amp;D372&amp;"|"&amp;TEXT(I372,"0.00"))</f>
        <v/>
      </c>
      <c r="P372" s="24">
        <f>IF(OR(F372="",K372=0),0,MAX(0,TODAY()-F372))</f>
        <v/>
      </c>
      <c r="Q372" s="24">
        <f>IF(OR(L372="Paid",L372="Cancelled",F372=""),"",IF(F372&lt;TODAY(),"OVERDUE",IF(F372&lt;=TODAY()+'Setup &amp; Lists'!$M$7,"DUE SOON","")))</f>
        <v/>
      </c>
      <c r="R372" s="18" t="n"/>
    </row>
    <row r="373">
      <c r="A373" s="19" t="n"/>
      <c r="B373" s="18" t="n"/>
      <c r="C373" s="19" t="n"/>
      <c r="D373" s="19" t="n"/>
      <c r="E373" s="20" t="n"/>
      <c r="F373" s="20" t="n"/>
      <c r="G373" s="19" t="n"/>
      <c r="H373" s="19" t="n"/>
      <c r="I373" s="21" t="n"/>
      <c r="J373" s="21" t="n"/>
      <c r="K373" s="22">
        <f>IF(I373="","",MAX(0,I373-J373))</f>
        <v/>
      </c>
      <c r="L373" s="19" t="n"/>
      <c r="M373" s="18" t="n"/>
      <c r="N373" s="19" t="n"/>
      <c r="O373" s="24">
        <f>IF(OR(C373="",D373=""),"",C373&amp;"|"&amp;D373&amp;"|"&amp;TEXT(I373,"0.00"))</f>
        <v/>
      </c>
      <c r="P373" s="24">
        <f>IF(OR(F373="",K373=0),0,MAX(0,TODAY()-F373))</f>
        <v/>
      </c>
      <c r="Q373" s="24">
        <f>IF(OR(L373="Paid",L373="Cancelled",F373=""),"",IF(F373&lt;TODAY(),"OVERDUE",IF(F373&lt;=TODAY()+'Setup &amp; Lists'!$M$7,"DUE SOON","")))</f>
        <v/>
      </c>
      <c r="R373" s="18" t="n"/>
    </row>
    <row r="374">
      <c r="A374" s="19" t="n"/>
      <c r="B374" s="18" t="n"/>
      <c r="C374" s="19" t="n"/>
      <c r="D374" s="19" t="n"/>
      <c r="E374" s="20" t="n"/>
      <c r="F374" s="20" t="n"/>
      <c r="G374" s="19" t="n"/>
      <c r="H374" s="19" t="n"/>
      <c r="I374" s="21" t="n"/>
      <c r="J374" s="21" t="n"/>
      <c r="K374" s="22">
        <f>IF(I374="","",MAX(0,I374-J374))</f>
        <v/>
      </c>
      <c r="L374" s="19" t="n"/>
      <c r="M374" s="18" t="n"/>
      <c r="N374" s="19" t="n"/>
      <c r="O374" s="24">
        <f>IF(OR(C374="",D374=""),"",C374&amp;"|"&amp;D374&amp;"|"&amp;TEXT(I374,"0.00"))</f>
        <v/>
      </c>
      <c r="P374" s="24">
        <f>IF(OR(F374="",K374=0),0,MAX(0,TODAY()-F374))</f>
        <v/>
      </c>
      <c r="Q374" s="24">
        <f>IF(OR(L374="Paid",L374="Cancelled",F374=""),"",IF(F374&lt;TODAY(),"OVERDUE",IF(F374&lt;=TODAY()+'Setup &amp; Lists'!$M$7,"DUE SOON","")))</f>
        <v/>
      </c>
      <c r="R374" s="18" t="n"/>
    </row>
    <row r="375">
      <c r="A375" s="19" t="n"/>
      <c r="B375" s="18" t="n"/>
      <c r="C375" s="19" t="n"/>
      <c r="D375" s="19" t="n"/>
      <c r="E375" s="20" t="n"/>
      <c r="F375" s="20" t="n"/>
      <c r="G375" s="19" t="n"/>
      <c r="H375" s="19" t="n"/>
      <c r="I375" s="21" t="n"/>
      <c r="J375" s="21" t="n"/>
      <c r="K375" s="22">
        <f>IF(I375="","",MAX(0,I375-J375))</f>
        <v/>
      </c>
      <c r="L375" s="19" t="n"/>
      <c r="M375" s="18" t="n"/>
      <c r="N375" s="19" t="n"/>
      <c r="O375" s="24">
        <f>IF(OR(C375="",D375=""),"",C375&amp;"|"&amp;D375&amp;"|"&amp;TEXT(I375,"0.00"))</f>
        <v/>
      </c>
      <c r="P375" s="24">
        <f>IF(OR(F375="",K375=0),0,MAX(0,TODAY()-F375))</f>
        <v/>
      </c>
      <c r="Q375" s="24">
        <f>IF(OR(L375="Paid",L375="Cancelled",F375=""),"",IF(F375&lt;TODAY(),"OVERDUE",IF(F375&lt;=TODAY()+'Setup &amp; Lists'!$M$7,"DUE SOON","")))</f>
        <v/>
      </c>
      <c r="R375" s="18" t="n"/>
    </row>
    <row r="376">
      <c r="A376" s="19" t="n"/>
      <c r="B376" s="18" t="n"/>
      <c r="C376" s="19" t="n"/>
      <c r="D376" s="19" t="n"/>
      <c r="E376" s="20" t="n"/>
      <c r="F376" s="20" t="n"/>
      <c r="G376" s="19" t="n"/>
      <c r="H376" s="19" t="n"/>
      <c r="I376" s="21" t="n"/>
      <c r="J376" s="21" t="n"/>
      <c r="K376" s="22">
        <f>IF(I376="","",MAX(0,I376-J376))</f>
        <v/>
      </c>
      <c r="L376" s="19" t="n"/>
      <c r="M376" s="18" t="n"/>
      <c r="N376" s="19" t="n"/>
      <c r="O376" s="24">
        <f>IF(OR(C376="",D376=""),"",C376&amp;"|"&amp;D376&amp;"|"&amp;TEXT(I376,"0.00"))</f>
        <v/>
      </c>
      <c r="P376" s="24">
        <f>IF(OR(F376="",K376=0),0,MAX(0,TODAY()-F376))</f>
        <v/>
      </c>
      <c r="Q376" s="24">
        <f>IF(OR(L376="Paid",L376="Cancelled",F376=""),"",IF(F376&lt;TODAY(),"OVERDUE",IF(F376&lt;=TODAY()+'Setup &amp; Lists'!$M$7,"DUE SOON","")))</f>
        <v/>
      </c>
      <c r="R376" s="18" t="n"/>
    </row>
    <row r="377">
      <c r="A377" s="19" t="n"/>
      <c r="B377" s="18" t="n"/>
      <c r="C377" s="19" t="n"/>
      <c r="D377" s="19" t="n"/>
      <c r="E377" s="20" t="n"/>
      <c r="F377" s="20" t="n"/>
      <c r="G377" s="19" t="n"/>
      <c r="H377" s="19" t="n"/>
      <c r="I377" s="21" t="n"/>
      <c r="J377" s="21" t="n"/>
      <c r="K377" s="22">
        <f>IF(I377="","",MAX(0,I377-J377))</f>
        <v/>
      </c>
      <c r="L377" s="19" t="n"/>
      <c r="M377" s="18" t="n"/>
      <c r="N377" s="19" t="n"/>
      <c r="O377" s="24">
        <f>IF(OR(C377="",D377=""),"",C377&amp;"|"&amp;D377&amp;"|"&amp;TEXT(I377,"0.00"))</f>
        <v/>
      </c>
      <c r="P377" s="24">
        <f>IF(OR(F377="",K377=0),0,MAX(0,TODAY()-F377))</f>
        <v/>
      </c>
      <c r="Q377" s="24">
        <f>IF(OR(L377="Paid",L377="Cancelled",F377=""),"",IF(F377&lt;TODAY(),"OVERDUE",IF(F377&lt;=TODAY()+'Setup &amp; Lists'!$M$7,"DUE SOON","")))</f>
        <v/>
      </c>
      <c r="R377" s="18" t="n"/>
    </row>
    <row r="378">
      <c r="A378" s="19" t="n"/>
      <c r="B378" s="18" t="n"/>
      <c r="C378" s="19" t="n"/>
      <c r="D378" s="19" t="n"/>
      <c r="E378" s="20" t="n"/>
      <c r="F378" s="20" t="n"/>
      <c r="G378" s="19" t="n"/>
      <c r="H378" s="19" t="n"/>
      <c r="I378" s="21" t="n"/>
      <c r="J378" s="21" t="n"/>
      <c r="K378" s="22">
        <f>IF(I378="","",MAX(0,I378-J378))</f>
        <v/>
      </c>
      <c r="L378" s="19" t="n"/>
      <c r="M378" s="18" t="n"/>
      <c r="N378" s="19" t="n"/>
      <c r="O378" s="24">
        <f>IF(OR(C378="",D378=""),"",C378&amp;"|"&amp;D378&amp;"|"&amp;TEXT(I378,"0.00"))</f>
        <v/>
      </c>
      <c r="P378" s="24">
        <f>IF(OR(F378="",K378=0),0,MAX(0,TODAY()-F378))</f>
        <v/>
      </c>
      <c r="Q378" s="24">
        <f>IF(OR(L378="Paid",L378="Cancelled",F378=""),"",IF(F378&lt;TODAY(),"OVERDUE",IF(F378&lt;=TODAY()+'Setup &amp; Lists'!$M$7,"DUE SOON","")))</f>
        <v/>
      </c>
      <c r="R378" s="18" t="n"/>
    </row>
    <row r="379">
      <c r="A379" s="19" t="n"/>
      <c r="B379" s="18" t="n"/>
      <c r="C379" s="19" t="n"/>
      <c r="D379" s="19" t="n"/>
      <c r="E379" s="20" t="n"/>
      <c r="F379" s="20" t="n"/>
      <c r="G379" s="19" t="n"/>
      <c r="H379" s="19" t="n"/>
      <c r="I379" s="21" t="n"/>
      <c r="J379" s="21" t="n"/>
      <c r="K379" s="22">
        <f>IF(I379="","",MAX(0,I379-J379))</f>
        <v/>
      </c>
      <c r="L379" s="19" t="n"/>
      <c r="M379" s="18" t="n"/>
      <c r="N379" s="19" t="n"/>
      <c r="O379" s="24">
        <f>IF(OR(C379="",D379=""),"",C379&amp;"|"&amp;D379&amp;"|"&amp;TEXT(I379,"0.00"))</f>
        <v/>
      </c>
      <c r="P379" s="24">
        <f>IF(OR(F379="",K379=0),0,MAX(0,TODAY()-F379))</f>
        <v/>
      </c>
      <c r="Q379" s="24">
        <f>IF(OR(L379="Paid",L379="Cancelled",F379=""),"",IF(F379&lt;TODAY(),"OVERDUE",IF(F379&lt;=TODAY()+'Setup &amp; Lists'!$M$7,"DUE SOON","")))</f>
        <v/>
      </c>
      <c r="R379" s="18" t="n"/>
    </row>
    <row r="380">
      <c r="A380" s="19" t="n"/>
      <c r="B380" s="18" t="n"/>
      <c r="C380" s="19" t="n"/>
      <c r="D380" s="19" t="n"/>
      <c r="E380" s="20" t="n"/>
      <c r="F380" s="20" t="n"/>
      <c r="G380" s="19" t="n"/>
      <c r="H380" s="19" t="n"/>
      <c r="I380" s="21" t="n"/>
      <c r="J380" s="21" t="n"/>
      <c r="K380" s="22">
        <f>IF(I380="","",MAX(0,I380-J380))</f>
        <v/>
      </c>
      <c r="L380" s="19" t="n"/>
      <c r="M380" s="18" t="n"/>
      <c r="N380" s="19" t="n"/>
      <c r="O380" s="24">
        <f>IF(OR(C380="",D380=""),"",C380&amp;"|"&amp;D380&amp;"|"&amp;TEXT(I380,"0.00"))</f>
        <v/>
      </c>
      <c r="P380" s="24">
        <f>IF(OR(F380="",K380=0),0,MAX(0,TODAY()-F380))</f>
        <v/>
      </c>
      <c r="Q380" s="24">
        <f>IF(OR(L380="Paid",L380="Cancelled",F380=""),"",IF(F380&lt;TODAY(),"OVERDUE",IF(F380&lt;=TODAY()+'Setup &amp; Lists'!$M$7,"DUE SOON","")))</f>
        <v/>
      </c>
      <c r="R380" s="18" t="n"/>
    </row>
    <row r="381">
      <c r="A381" s="19" t="n"/>
      <c r="B381" s="18" t="n"/>
      <c r="C381" s="19" t="n"/>
      <c r="D381" s="19" t="n"/>
      <c r="E381" s="20" t="n"/>
      <c r="F381" s="20" t="n"/>
      <c r="G381" s="19" t="n"/>
      <c r="H381" s="19" t="n"/>
      <c r="I381" s="21" t="n"/>
      <c r="J381" s="21" t="n"/>
      <c r="K381" s="22">
        <f>IF(I381="","",MAX(0,I381-J381))</f>
        <v/>
      </c>
      <c r="L381" s="19" t="n"/>
      <c r="M381" s="18" t="n"/>
      <c r="N381" s="19" t="n"/>
      <c r="O381" s="24">
        <f>IF(OR(C381="",D381=""),"",C381&amp;"|"&amp;D381&amp;"|"&amp;TEXT(I381,"0.00"))</f>
        <v/>
      </c>
      <c r="P381" s="24">
        <f>IF(OR(F381="",K381=0),0,MAX(0,TODAY()-F381))</f>
        <v/>
      </c>
      <c r="Q381" s="24">
        <f>IF(OR(L381="Paid",L381="Cancelled",F381=""),"",IF(F381&lt;TODAY(),"OVERDUE",IF(F381&lt;=TODAY()+'Setup &amp; Lists'!$M$7,"DUE SOON","")))</f>
        <v/>
      </c>
      <c r="R381" s="18" t="n"/>
    </row>
    <row r="382">
      <c r="A382" s="19" t="n"/>
      <c r="B382" s="18" t="n"/>
      <c r="C382" s="19" t="n"/>
      <c r="D382" s="19" t="n"/>
      <c r="E382" s="20" t="n"/>
      <c r="F382" s="20" t="n"/>
      <c r="G382" s="19" t="n"/>
      <c r="H382" s="19" t="n"/>
      <c r="I382" s="21" t="n"/>
      <c r="J382" s="21" t="n"/>
      <c r="K382" s="22">
        <f>IF(I382="","",MAX(0,I382-J382))</f>
        <v/>
      </c>
      <c r="L382" s="19" t="n"/>
      <c r="M382" s="18" t="n"/>
      <c r="N382" s="19" t="n"/>
      <c r="O382" s="24">
        <f>IF(OR(C382="",D382=""),"",C382&amp;"|"&amp;D382&amp;"|"&amp;TEXT(I382,"0.00"))</f>
        <v/>
      </c>
      <c r="P382" s="24">
        <f>IF(OR(F382="",K382=0),0,MAX(0,TODAY()-F382))</f>
        <v/>
      </c>
      <c r="Q382" s="24">
        <f>IF(OR(L382="Paid",L382="Cancelled",F382=""),"",IF(F382&lt;TODAY(),"OVERDUE",IF(F382&lt;=TODAY()+'Setup &amp; Lists'!$M$7,"DUE SOON","")))</f>
        <v/>
      </c>
      <c r="R382" s="18" t="n"/>
    </row>
    <row r="383">
      <c r="A383" s="19" t="n"/>
      <c r="B383" s="18" t="n"/>
      <c r="C383" s="19" t="n"/>
      <c r="D383" s="19" t="n"/>
      <c r="E383" s="20" t="n"/>
      <c r="F383" s="20" t="n"/>
      <c r="G383" s="19" t="n"/>
      <c r="H383" s="19" t="n"/>
      <c r="I383" s="21" t="n"/>
      <c r="J383" s="21" t="n"/>
      <c r="K383" s="22">
        <f>IF(I383="","",MAX(0,I383-J383))</f>
        <v/>
      </c>
      <c r="L383" s="19" t="n"/>
      <c r="M383" s="18" t="n"/>
      <c r="N383" s="19" t="n"/>
      <c r="O383" s="24">
        <f>IF(OR(C383="",D383=""),"",C383&amp;"|"&amp;D383&amp;"|"&amp;TEXT(I383,"0.00"))</f>
        <v/>
      </c>
      <c r="P383" s="24">
        <f>IF(OR(F383="",K383=0),0,MAX(0,TODAY()-F383))</f>
        <v/>
      </c>
      <c r="Q383" s="24">
        <f>IF(OR(L383="Paid",L383="Cancelled",F383=""),"",IF(F383&lt;TODAY(),"OVERDUE",IF(F383&lt;=TODAY()+'Setup &amp; Lists'!$M$7,"DUE SOON","")))</f>
        <v/>
      </c>
      <c r="R383" s="18" t="n"/>
    </row>
    <row r="384">
      <c r="A384" s="19" t="n"/>
      <c r="B384" s="18" t="n"/>
      <c r="C384" s="19" t="n"/>
      <c r="D384" s="19" t="n"/>
      <c r="E384" s="20" t="n"/>
      <c r="F384" s="20" t="n"/>
      <c r="G384" s="19" t="n"/>
      <c r="H384" s="19" t="n"/>
      <c r="I384" s="21" t="n"/>
      <c r="J384" s="21" t="n"/>
      <c r="K384" s="22">
        <f>IF(I384="","",MAX(0,I384-J384))</f>
        <v/>
      </c>
      <c r="L384" s="19" t="n"/>
      <c r="M384" s="18" t="n"/>
      <c r="N384" s="19" t="n"/>
      <c r="O384" s="24">
        <f>IF(OR(C384="",D384=""),"",C384&amp;"|"&amp;D384&amp;"|"&amp;TEXT(I384,"0.00"))</f>
        <v/>
      </c>
      <c r="P384" s="24">
        <f>IF(OR(F384="",K384=0),0,MAX(0,TODAY()-F384))</f>
        <v/>
      </c>
      <c r="Q384" s="24">
        <f>IF(OR(L384="Paid",L384="Cancelled",F384=""),"",IF(F384&lt;TODAY(),"OVERDUE",IF(F384&lt;=TODAY()+'Setup &amp; Lists'!$M$7,"DUE SOON","")))</f>
        <v/>
      </c>
      <c r="R384" s="18" t="n"/>
    </row>
    <row r="385">
      <c r="A385" s="19" t="n"/>
      <c r="B385" s="18" t="n"/>
      <c r="C385" s="19" t="n"/>
      <c r="D385" s="19" t="n"/>
      <c r="E385" s="20" t="n"/>
      <c r="F385" s="20" t="n"/>
      <c r="G385" s="19" t="n"/>
      <c r="H385" s="19" t="n"/>
      <c r="I385" s="21" t="n"/>
      <c r="J385" s="21" t="n"/>
      <c r="K385" s="22">
        <f>IF(I385="","",MAX(0,I385-J385))</f>
        <v/>
      </c>
      <c r="L385" s="19" t="n"/>
      <c r="M385" s="18" t="n"/>
      <c r="N385" s="19" t="n"/>
      <c r="O385" s="24">
        <f>IF(OR(C385="",D385=""),"",C385&amp;"|"&amp;D385&amp;"|"&amp;TEXT(I385,"0.00"))</f>
        <v/>
      </c>
      <c r="P385" s="24">
        <f>IF(OR(F385="",K385=0),0,MAX(0,TODAY()-F385))</f>
        <v/>
      </c>
      <c r="Q385" s="24">
        <f>IF(OR(L385="Paid",L385="Cancelled",F385=""),"",IF(F385&lt;TODAY(),"OVERDUE",IF(F385&lt;=TODAY()+'Setup &amp; Lists'!$M$7,"DUE SOON","")))</f>
        <v/>
      </c>
      <c r="R385" s="18" t="n"/>
    </row>
    <row r="386">
      <c r="A386" s="19" t="n"/>
      <c r="B386" s="18" t="n"/>
      <c r="C386" s="19" t="n"/>
      <c r="D386" s="19" t="n"/>
      <c r="E386" s="20" t="n"/>
      <c r="F386" s="20" t="n"/>
      <c r="G386" s="19" t="n"/>
      <c r="H386" s="19" t="n"/>
      <c r="I386" s="21" t="n"/>
      <c r="J386" s="21" t="n"/>
      <c r="K386" s="22">
        <f>IF(I386="","",MAX(0,I386-J386))</f>
        <v/>
      </c>
      <c r="L386" s="19" t="n"/>
      <c r="M386" s="18" t="n"/>
      <c r="N386" s="19" t="n"/>
      <c r="O386" s="24">
        <f>IF(OR(C386="",D386=""),"",C386&amp;"|"&amp;D386&amp;"|"&amp;TEXT(I386,"0.00"))</f>
        <v/>
      </c>
      <c r="P386" s="24">
        <f>IF(OR(F386="",K386=0),0,MAX(0,TODAY()-F386))</f>
        <v/>
      </c>
      <c r="Q386" s="24">
        <f>IF(OR(L386="Paid",L386="Cancelled",F386=""),"",IF(F386&lt;TODAY(),"OVERDUE",IF(F386&lt;=TODAY()+'Setup &amp; Lists'!$M$7,"DUE SOON","")))</f>
        <v/>
      </c>
      <c r="R386" s="18" t="n"/>
    </row>
    <row r="387">
      <c r="A387" s="19" t="n"/>
      <c r="B387" s="18" t="n"/>
      <c r="C387" s="19" t="n"/>
      <c r="D387" s="19" t="n"/>
      <c r="E387" s="20" t="n"/>
      <c r="F387" s="20" t="n"/>
      <c r="G387" s="19" t="n"/>
      <c r="H387" s="19" t="n"/>
      <c r="I387" s="21" t="n"/>
      <c r="J387" s="21" t="n"/>
      <c r="K387" s="22">
        <f>IF(I387="","",MAX(0,I387-J387))</f>
        <v/>
      </c>
      <c r="L387" s="19" t="n"/>
      <c r="M387" s="18" t="n"/>
      <c r="N387" s="19" t="n"/>
      <c r="O387" s="24">
        <f>IF(OR(C387="",D387=""),"",C387&amp;"|"&amp;D387&amp;"|"&amp;TEXT(I387,"0.00"))</f>
        <v/>
      </c>
      <c r="P387" s="24">
        <f>IF(OR(F387="",K387=0),0,MAX(0,TODAY()-F387))</f>
        <v/>
      </c>
      <c r="Q387" s="24">
        <f>IF(OR(L387="Paid",L387="Cancelled",F387=""),"",IF(F387&lt;TODAY(),"OVERDUE",IF(F387&lt;=TODAY()+'Setup &amp; Lists'!$M$7,"DUE SOON","")))</f>
        <v/>
      </c>
      <c r="R387" s="18" t="n"/>
    </row>
    <row r="388">
      <c r="A388" s="19" t="n"/>
      <c r="B388" s="18" t="n"/>
      <c r="C388" s="19" t="n"/>
      <c r="D388" s="19" t="n"/>
      <c r="E388" s="20" t="n"/>
      <c r="F388" s="20" t="n"/>
      <c r="G388" s="19" t="n"/>
      <c r="H388" s="19" t="n"/>
      <c r="I388" s="21" t="n"/>
      <c r="J388" s="21" t="n"/>
      <c r="K388" s="22">
        <f>IF(I388="","",MAX(0,I388-J388))</f>
        <v/>
      </c>
      <c r="L388" s="19" t="n"/>
      <c r="M388" s="18" t="n"/>
      <c r="N388" s="19" t="n"/>
      <c r="O388" s="24">
        <f>IF(OR(C388="",D388=""),"",C388&amp;"|"&amp;D388&amp;"|"&amp;TEXT(I388,"0.00"))</f>
        <v/>
      </c>
      <c r="P388" s="24">
        <f>IF(OR(F388="",K388=0),0,MAX(0,TODAY()-F388))</f>
        <v/>
      </c>
      <c r="Q388" s="24">
        <f>IF(OR(L388="Paid",L388="Cancelled",F388=""),"",IF(F388&lt;TODAY(),"OVERDUE",IF(F388&lt;=TODAY()+'Setup &amp; Lists'!$M$7,"DUE SOON","")))</f>
        <v/>
      </c>
      <c r="R388" s="18" t="n"/>
    </row>
    <row r="389">
      <c r="A389" s="19" t="n"/>
      <c r="B389" s="18" t="n"/>
      <c r="C389" s="19" t="n"/>
      <c r="D389" s="19" t="n"/>
      <c r="E389" s="20" t="n"/>
      <c r="F389" s="20" t="n"/>
      <c r="G389" s="19" t="n"/>
      <c r="H389" s="19" t="n"/>
      <c r="I389" s="21" t="n"/>
      <c r="J389" s="21" t="n"/>
      <c r="K389" s="22">
        <f>IF(I389="","",MAX(0,I389-J389))</f>
        <v/>
      </c>
      <c r="L389" s="19" t="n"/>
      <c r="M389" s="18" t="n"/>
      <c r="N389" s="19" t="n"/>
      <c r="O389" s="24">
        <f>IF(OR(C389="",D389=""),"",C389&amp;"|"&amp;D389&amp;"|"&amp;TEXT(I389,"0.00"))</f>
        <v/>
      </c>
      <c r="P389" s="24">
        <f>IF(OR(F389="",K389=0),0,MAX(0,TODAY()-F389))</f>
        <v/>
      </c>
      <c r="Q389" s="24">
        <f>IF(OR(L389="Paid",L389="Cancelled",F389=""),"",IF(F389&lt;TODAY(),"OVERDUE",IF(F389&lt;=TODAY()+'Setup &amp; Lists'!$M$7,"DUE SOON","")))</f>
        <v/>
      </c>
      <c r="R389" s="18" t="n"/>
    </row>
    <row r="390">
      <c r="A390" s="19" t="n"/>
      <c r="B390" s="18" t="n"/>
      <c r="C390" s="19" t="n"/>
      <c r="D390" s="19" t="n"/>
      <c r="E390" s="20" t="n"/>
      <c r="F390" s="20" t="n"/>
      <c r="G390" s="19" t="n"/>
      <c r="H390" s="19" t="n"/>
      <c r="I390" s="21" t="n"/>
      <c r="J390" s="21" t="n"/>
      <c r="K390" s="22">
        <f>IF(I390="","",MAX(0,I390-J390))</f>
        <v/>
      </c>
      <c r="L390" s="19" t="n"/>
      <c r="M390" s="18" t="n"/>
      <c r="N390" s="19" t="n"/>
      <c r="O390" s="24">
        <f>IF(OR(C390="",D390=""),"",C390&amp;"|"&amp;D390&amp;"|"&amp;TEXT(I390,"0.00"))</f>
        <v/>
      </c>
      <c r="P390" s="24">
        <f>IF(OR(F390="",K390=0),0,MAX(0,TODAY()-F390))</f>
        <v/>
      </c>
      <c r="Q390" s="24">
        <f>IF(OR(L390="Paid",L390="Cancelled",F390=""),"",IF(F390&lt;TODAY(),"OVERDUE",IF(F390&lt;=TODAY()+'Setup &amp; Lists'!$M$7,"DUE SOON","")))</f>
        <v/>
      </c>
      <c r="R390" s="18" t="n"/>
    </row>
    <row r="391">
      <c r="A391" s="19" t="n"/>
      <c r="B391" s="18" t="n"/>
      <c r="C391" s="19" t="n"/>
      <c r="D391" s="19" t="n"/>
      <c r="E391" s="20" t="n"/>
      <c r="F391" s="20" t="n"/>
      <c r="G391" s="19" t="n"/>
      <c r="H391" s="19" t="n"/>
      <c r="I391" s="21" t="n"/>
      <c r="J391" s="21" t="n"/>
      <c r="K391" s="22">
        <f>IF(I391="","",MAX(0,I391-J391))</f>
        <v/>
      </c>
      <c r="L391" s="19" t="n"/>
      <c r="M391" s="18" t="n"/>
      <c r="N391" s="19" t="n"/>
      <c r="O391" s="24">
        <f>IF(OR(C391="",D391=""),"",C391&amp;"|"&amp;D391&amp;"|"&amp;TEXT(I391,"0.00"))</f>
        <v/>
      </c>
      <c r="P391" s="24">
        <f>IF(OR(F391="",K391=0),0,MAX(0,TODAY()-F391))</f>
        <v/>
      </c>
      <c r="Q391" s="24">
        <f>IF(OR(L391="Paid",L391="Cancelled",F391=""),"",IF(F391&lt;TODAY(),"OVERDUE",IF(F391&lt;=TODAY()+'Setup &amp; Lists'!$M$7,"DUE SOON","")))</f>
        <v/>
      </c>
      <c r="R391" s="18" t="n"/>
    </row>
    <row r="392">
      <c r="A392" s="19" t="n"/>
      <c r="B392" s="18" t="n"/>
      <c r="C392" s="19" t="n"/>
      <c r="D392" s="19" t="n"/>
      <c r="E392" s="20" t="n"/>
      <c r="F392" s="20" t="n"/>
      <c r="G392" s="19" t="n"/>
      <c r="H392" s="19" t="n"/>
      <c r="I392" s="21" t="n"/>
      <c r="J392" s="21" t="n"/>
      <c r="K392" s="22">
        <f>IF(I392="","",MAX(0,I392-J392))</f>
        <v/>
      </c>
      <c r="L392" s="19" t="n"/>
      <c r="M392" s="18" t="n"/>
      <c r="N392" s="19" t="n"/>
      <c r="O392" s="24">
        <f>IF(OR(C392="",D392=""),"",C392&amp;"|"&amp;D392&amp;"|"&amp;TEXT(I392,"0.00"))</f>
        <v/>
      </c>
      <c r="P392" s="24">
        <f>IF(OR(F392="",K392=0),0,MAX(0,TODAY()-F392))</f>
        <v/>
      </c>
      <c r="Q392" s="24">
        <f>IF(OR(L392="Paid",L392="Cancelled",F392=""),"",IF(F392&lt;TODAY(),"OVERDUE",IF(F392&lt;=TODAY()+'Setup &amp; Lists'!$M$7,"DUE SOON","")))</f>
        <v/>
      </c>
      <c r="R392" s="18" t="n"/>
    </row>
    <row r="393">
      <c r="A393" s="19" t="n"/>
      <c r="B393" s="18" t="n"/>
      <c r="C393" s="19" t="n"/>
      <c r="D393" s="19" t="n"/>
      <c r="E393" s="20" t="n"/>
      <c r="F393" s="20" t="n"/>
      <c r="G393" s="19" t="n"/>
      <c r="H393" s="19" t="n"/>
      <c r="I393" s="21" t="n"/>
      <c r="J393" s="21" t="n"/>
      <c r="K393" s="22">
        <f>IF(I393="","",MAX(0,I393-J393))</f>
        <v/>
      </c>
      <c r="L393" s="19" t="n"/>
      <c r="M393" s="18" t="n"/>
      <c r="N393" s="19" t="n"/>
      <c r="O393" s="24">
        <f>IF(OR(C393="",D393=""),"",C393&amp;"|"&amp;D393&amp;"|"&amp;TEXT(I393,"0.00"))</f>
        <v/>
      </c>
      <c r="P393" s="24">
        <f>IF(OR(F393="",K393=0),0,MAX(0,TODAY()-F393))</f>
        <v/>
      </c>
      <c r="Q393" s="24">
        <f>IF(OR(L393="Paid",L393="Cancelled",F393=""),"",IF(F393&lt;TODAY(),"OVERDUE",IF(F393&lt;=TODAY()+'Setup &amp; Lists'!$M$7,"DUE SOON","")))</f>
        <v/>
      </c>
      <c r="R393" s="18" t="n"/>
    </row>
    <row r="394">
      <c r="A394" s="19" t="n"/>
      <c r="B394" s="18" t="n"/>
      <c r="C394" s="19" t="n"/>
      <c r="D394" s="19" t="n"/>
      <c r="E394" s="20" t="n"/>
      <c r="F394" s="20" t="n"/>
      <c r="G394" s="19" t="n"/>
      <c r="H394" s="19" t="n"/>
      <c r="I394" s="21" t="n"/>
      <c r="J394" s="21" t="n"/>
      <c r="K394" s="22">
        <f>IF(I394="","",MAX(0,I394-J394))</f>
        <v/>
      </c>
      <c r="L394" s="19" t="n"/>
      <c r="M394" s="18" t="n"/>
      <c r="N394" s="19" t="n"/>
      <c r="O394" s="24">
        <f>IF(OR(C394="",D394=""),"",C394&amp;"|"&amp;D394&amp;"|"&amp;TEXT(I394,"0.00"))</f>
        <v/>
      </c>
      <c r="P394" s="24">
        <f>IF(OR(F394="",K394=0),0,MAX(0,TODAY()-F394))</f>
        <v/>
      </c>
      <c r="Q394" s="24">
        <f>IF(OR(L394="Paid",L394="Cancelled",F394=""),"",IF(F394&lt;TODAY(),"OVERDUE",IF(F394&lt;=TODAY()+'Setup &amp; Lists'!$M$7,"DUE SOON","")))</f>
        <v/>
      </c>
      <c r="R394" s="18" t="n"/>
    </row>
    <row r="395">
      <c r="A395" s="19" t="n"/>
      <c r="B395" s="18" t="n"/>
      <c r="C395" s="19" t="n"/>
      <c r="D395" s="19" t="n"/>
      <c r="E395" s="20" t="n"/>
      <c r="F395" s="20" t="n"/>
      <c r="G395" s="19" t="n"/>
      <c r="H395" s="19" t="n"/>
      <c r="I395" s="21" t="n"/>
      <c r="J395" s="21" t="n"/>
      <c r="K395" s="22">
        <f>IF(I395="","",MAX(0,I395-J395))</f>
        <v/>
      </c>
      <c r="L395" s="19" t="n"/>
      <c r="M395" s="18" t="n"/>
      <c r="N395" s="19" t="n"/>
      <c r="O395" s="24">
        <f>IF(OR(C395="",D395=""),"",C395&amp;"|"&amp;D395&amp;"|"&amp;TEXT(I395,"0.00"))</f>
        <v/>
      </c>
      <c r="P395" s="24">
        <f>IF(OR(F395="",K395=0),0,MAX(0,TODAY()-F395))</f>
        <v/>
      </c>
      <c r="Q395" s="24">
        <f>IF(OR(L395="Paid",L395="Cancelled",F395=""),"",IF(F395&lt;TODAY(),"OVERDUE",IF(F395&lt;=TODAY()+'Setup &amp; Lists'!$M$7,"DUE SOON","")))</f>
        <v/>
      </c>
      <c r="R395" s="18" t="n"/>
    </row>
    <row r="396">
      <c r="A396" s="19" t="n"/>
      <c r="B396" s="18" t="n"/>
      <c r="C396" s="19" t="n"/>
      <c r="D396" s="19" t="n"/>
      <c r="E396" s="20" t="n"/>
      <c r="F396" s="20" t="n"/>
      <c r="G396" s="19" t="n"/>
      <c r="H396" s="19" t="n"/>
      <c r="I396" s="21" t="n"/>
      <c r="J396" s="21" t="n"/>
      <c r="K396" s="22">
        <f>IF(I396="","",MAX(0,I396-J396))</f>
        <v/>
      </c>
      <c r="L396" s="19" t="n"/>
      <c r="M396" s="18" t="n"/>
      <c r="N396" s="19" t="n"/>
      <c r="O396" s="24">
        <f>IF(OR(C396="",D396=""),"",C396&amp;"|"&amp;D396&amp;"|"&amp;TEXT(I396,"0.00"))</f>
        <v/>
      </c>
      <c r="P396" s="24">
        <f>IF(OR(F396="",K396=0),0,MAX(0,TODAY()-F396))</f>
        <v/>
      </c>
      <c r="Q396" s="24">
        <f>IF(OR(L396="Paid",L396="Cancelled",F396=""),"",IF(F396&lt;TODAY(),"OVERDUE",IF(F396&lt;=TODAY()+'Setup &amp; Lists'!$M$7,"DUE SOON","")))</f>
        <v/>
      </c>
      <c r="R396" s="18" t="n"/>
    </row>
    <row r="397">
      <c r="A397" s="19" t="n"/>
      <c r="B397" s="18" t="n"/>
      <c r="C397" s="19" t="n"/>
      <c r="D397" s="19" t="n"/>
      <c r="E397" s="20" t="n"/>
      <c r="F397" s="20" t="n"/>
      <c r="G397" s="19" t="n"/>
      <c r="H397" s="19" t="n"/>
      <c r="I397" s="21" t="n"/>
      <c r="J397" s="21" t="n"/>
      <c r="K397" s="22">
        <f>IF(I397="","",MAX(0,I397-J397))</f>
        <v/>
      </c>
      <c r="L397" s="19" t="n"/>
      <c r="M397" s="18" t="n"/>
      <c r="N397" s="19" t="n"/>
      <c r="O397" s="24">
        <f>IF(OR(C397="",D397=""),"",C397&amp;"|"&amp;D397&amp;"|"&amp;TEXT(I397,"0.00"))</f>
        <v/>
      </c>
      <c r="P397" s="24">
        <f>IF(OR(F397="",K397=0),0,MAX(0,TODAY()-F397))</f>
        <v/>
      </c>
      <c r="Q397" s="24">
        <f>IF(OR(L397="Paid",L397="Cancelled",F397=""),"",IF(F397&lt;TODAY(),"OVERDUE",IF(F397&lt;=TODAY()+'Setup &amp; Lists'!$M$7,"DUE SOON","")))</f>
        <v/>
      </c>
      <c r="R397" s="18" t="n"/>
    </row>
    <row r="398">
      <c r="A398" s="19" t="n"/>
      <c r="B398" s="18" t="n"/>
      <c r="C398" s="19" t="n"/>
      <c r="D398" s="19" t="n"/>
      <c r="E398" s="20" t="n"/>
      <c r="F398" s="20" t="n"/>
      <c r="G398" s="19" t="n"/>
      <c r="H398" s="19" t="n"/>
      <c r="I398" s="21" t="n"/>
      <c r="J398" s="21" t="n"/>
      <c r="K398" s="22">
        <f>IF(I398="","",MAX(0,I398-J398))</f>
        <v/>
      </c>
      <c r="L398" s="19" t="n"/>
      <c r="M398" s="18" t="n"/>
      <c r="N398" s="19" t="n"/>
      <c r="O398" s="24">
        <f>IF(OR(C398="",D398=""),"",C398&amp;"|"&amp;D398&amp;"|"&amp;TEXT(I398,"0.00"))</f>
        <v/>
      </c>
      <c r="P398" s="24">
        <f>IF(OR(F398="",K398=0),0,MAX(0,TODAY()-F398))</f>
        <v/>
      </c>
      <c r="Q398" s="24">
        <f>IF(OR(L398="Paid",L398="Cancelled",F398=""),"",IF(F398&lt;TODAY(),"OVERDUE",IF(F398&lt;=TODAY()+'Setup &amp; Lists'!$M$7,"DUE SOON","")))</f>
        <v/>
      </c>
      <c r="R398" s="18" t="n"/>
    </row>
    <row r="399">
      <c r="A399" s="19" t="n"/>
      <c r="B399" s="18" t="n"/>
      <c r="C399" s="19" t="n"/>
      <c r="D399" s="19" t="n"/>
      <c r="E399" s="20" t="n"/>
      <c r="F399" s="20" t="n"/>
      <c r="G399" s="19" t="n"/>
      <c r="H399" s="19" t="n"/>
      <c r="I399" s="21" t="n"/>
      <c r="J399" s="21" t="n"/>
      <c r="K399" s="22">
        <f>IF(I399="","",MAX(0,I399-J399))</f>
        <v/>
      </c>
      <c r="L399" s="19" t="n"/>
      <c r="M399" s="18" t="n"/>
      <c r="N399" s="19" t="n"/>
      <c r="O399" s="24">
        <f>IF(OR(C399="",D399=""),"",C399&amp;"|"&amp;D399&amp;"|"&amp;TEXT(I399,"0.00"))</f>
        <v/>
      </c>
      <c r="P399" s="24">
        <f>IF(OR(F399="",K399=0),0,MAX(0,TODAY()-F399))</f>
        <v/>
      </c>
      <c r="Q399" s="24">
        <f>IF(OR(L399="Paid",L399="Cancelled",F399=""),"",IF(F399&lt;TODAY(),"OVERDUE",IF(F399&lt;=TODAY()+'Setup &amp; Lists'!$M$7,"DUE SOON","")))</f>
        <v/>
      </c>
      <c r="R399" s="18" t="n"/>
    </row>
    <row r="400">
      <c r="A400" s="19" t="n"/>
      <c r="B400" s="18" t="n"/>
      <c r="C400" s="19" t="n"/>
      <c r="D400" s="19" t="n"/>
      <c r="E400" s="20" t="n"/>
      <c r="F400" s="20" t="n"/>
      <c r="G400" s="19" t="n"/>
      <c r="H400" s="19" t="n"/>
      <c r="I400" s="21" t="n"/>
      <c r="J400" s="21" t="n"/>
      <c r="K400" s="22">
        <f>IF(I400="","",MAX(0,I400-J400))</f>
        <v/>
      </c>
      <c r="L400" s="19" t="n"/>
      <c r="M400" s="18" t="n"/>
      <c r="N400" s="19" t="n"/>
      <c r="O400" s="24">
        <f>IF(OR(C400="",D400=""),"",C400&amp;"|"&amp;D400&amp;"|"&amp;TEXT(I400,"0.00"))</f>
        <v/>
      </c>
      <c r="P400" s="24">
        <f>IF(OR(F400="",K400=0),0,MAX(0,TODAY()-F400))</f>
        <v/>
      </c>
      <c r="Q400" s="24">
        <f>IF(OR(L400="Paid",L400="Cancelled",F400=""),"",IF(F400&lt;TODAY(),"OVERDUE",IF(F400&lt;=TODAY()+'Setup &amp; Lists'!$M$7,"DUE SOON","")))</f>
        <v/>
      </c>
      <c r="R400" s="18" t="n"/>
    </row>
    <row r="401">
      <c r="A401" s="19" t="n"/>
      <c r="B401" s="18" t="n"/>
      <c r="C401" s="19" t="n"/>
      <c r="D401" s="19" t="n"/>
      <c r="E401" s="20" t="n"/>
      <c r="F401" s="20" t="n"/>
      <c r="G401" s="19" t="n"/>
      <c r="H401" s="19" t="n"/>
      <c r="I401" s="21" t="n"/>
      <c r="J401" s="21" t="n"/>
      <c r="K401" s="22">
        <f>IF(I401="","",MAX(0,I401-J401))</f>
        <v/>
      </c>
      <c r="L401" s="19" t="n"/>
      <c r="M401" s="18" t="n"/>
      <c r="N401" s="19" t="n"/>
      <c r="O401" s="24">
        <f>IF(OR(C401="",D401=""),"",C401&amp;"|"&amp;D401&amp;"|"&amp;TEXT(I401,"0.00"))</f>
        <v/>
      </c>
      <c r="P401" s="24">
        <f>IF(OR(F401="",K401=0),0,MAX(0,TODAY()-F401))</f>
        <v/>
      </c>
      <c r="Q401" s="24">
        <f>IF(OR(L401="Paid",L401="Cancelled",F401=""),"",IF(F401&lt;TODAY(),"OVERDUE",IF(F401&lt;=TODAY()+'Setup &amp; Lists'!$M$7,"DUE SOON","")))</f>
        <v/>
      </c>
      <c r="R401" s="18" t="n"/>
    </row>
    <row r="402">
      <c r="A402" s="19" t="n"/>
      <c r="B402" s="18" t="n"/>
      <c r="C402" s="19" t="n"/>
      <c r="D402" s="19" t="n"/>
      <c r="E402" s="20" t="n"/>
      <c r="F402" s="20" t="n"/>
      <c r="G402" s="19" t="n"/>
      <c r="H402" s="19" t="n"/>
      <c r="I402" s="21" t="n"/>
      <c r="J402" s="21" t="n"/>
      <c r="K402" s="22">
        <f>IF(I402="","",MAX(0,I402-J402))</f>
        <v/>
      </c>
      <c r="L402" s="19" t="n"/>
      <c r="M402" s="18" t="n"/>
      <c r="N402" s="19" t="n"/>
      <c r="O402" s="24">
        <f>IF(OR(C402="",D402=""),"",C402&amp;"|"&amp;D402&amp;"|"&amp;TEXT(I402,"0.00"))</f>
        <v/>
      </c>
      <c r="P402" s="24">
        <f>IF(OR(F402="",K402=0),0,MAX(0,TODAY()-F402))</f>
        <v/>
      </c>
      <c r="Q402" s="24">
        <f>IF(OR(L402="Paid",L402="Cancelled",F402=""),"",IF(F402&lt;TODAY(),"OVERDUE",IF(F402&lt;=TODAY()+'Setup &amp; Lists'!$M$7,"DUE SOON","")))</f>
        <v/>
      </c>
      <c r="R402" s="18" t="n"/>
    </row>
    <row r="403">
      <c r="A403" s="19" t="n"/>
      <c r="B403" s="18" t="n"/>
      <c r="C403" s="19" t="n"/>
      <c r="D403" s="19" t="n"/>
      <c r="E403" s="20" t="n"/>
      <c r="F403" s="20" t="n"/>
      <c r="G403" s="19" t="n"/>
      <c r="H403" s="19" t="n"/>
      <c r="I403" s="21" t="n"/>
      <c r="J403" s="21" t="n"/>
      <c r="K403" s="22">
        <f>IF(I403="","",MAX(0,I403-J403))</f>
        <v/>
      </c>
      <c r="L403" s="19" t="n"/>
      <c r="M403" s="18" t="n"/>
      <c r="N403" s="19" t="n"/>
      <c r="O403" s="24">
        <f>IF(OR(C403="",D403=""),"",C403&amp;"|"&amp;D403&amp;"|"&amp;TEXT(I403,"0.00"))</f>
        <v/>
      </c>
      <c r="P403" s="24">
        <f>IF(OR(F403="",K403=0),0,MAX(0,TODAY()-F403))</f>
        <v/>
      </c>
      <c r="Q403" s="24">
        <f>IF(OR(L403="Paid",L403="Cancelled",F403=""),"",IF(F403&lt;TODAY(),"OVERDUE",IF(F403&lt;=TODAY()+'Setup &amp; Lists'!$M$7,"DUE SOON","")))</f>
        <v/>
      </c>
      <c r="R403" s="18" t="n"/>
    </row>
    <row r="404">
      <c r="A404" s="19" t="n"/>
      <c r="B404" s="18" t="n"/>
      <c r="C404" s="19" t="n"/>
      <c r="D404" s="19" t="n"/>
      <c r="E404" s="20" t="n"/>
      <c r="F404" s="20" t="n"/>
      <c r="G404" s="19" t="n"/>
      <c r="H404" s="19" t="n"/>
      <c r="I404" s="21" t="n"/>
      <c r="J404" s="21" t="n"/>
      <c r="K404" s="22">
        <f>IF(I404="","",MAX(0,I404-J404))</f>
        <v/>
      </c>
      <c r="L404" s="19" t="n"/>
      <c r="M404" s="18" t="n"/>
      <c r="N404" s="19" t="n"/>
      <c r="O404" s="24">
        <f>IF(OR(C404="",D404=""),"",C404&amp;"|"&amp;D404&amp;"|"&amp;TEXT(I404,"0.00"))</f>
        <v/>
      </c>
      <c r="P404" s="24">
        <f>IF(OR(F404="",K404=0),0,MAX(0,TODAY()-F404))</f>
        <v/>
      </c>
      <c r="Q404" s="24">
        <f>IF(OR(L404="Paid",L404="Cancelled",F404=""),"",IF(F404&lt;TODAY(),"OVERDUE",IF(F404&lt;=TODAY()+'Setup &amp; Lists'!$M$7,"DUE SOON","")))</f>
        <v/>
      </c>
      <c r="R404" s="18" t="n"/>
    </row>
    <row r="405">
      <c r="A405" s="19" t="n"/>
      <c r="B405" s="18" t="n"/>
      <c r="C405" s="19" t="n"/>
      <c r="D405" s="19" t="n"/>
      <c r="E405" s="20" t="n"/>
      <c r="F405" s="20" t="n"/>
      <c r="G405" s="19" t="n"/>
      <c r="H405" s="19" t="n"/>
      <c r="I405" s="21" t="n"/>
      <c r="J405" s="21" t="n"/>
      <c r="K405" s="22">
        <f>IF(I405="","",MAX(0,I405-J405))</f>
        <v/>
      </c>
      <c r="L405" s="19" t="n"/>
      <c r="M405" s="18" t="n"/>
      <c r="N405" s="19" t="n"/>
      <c r="O405" s="24">
        <f>IF(OR(C405="",D405=""),"",C405&amp;"|"&amp;D405&amp;"|"&amp;TEXT(I405,"0.00"))</f>
        <v/>
      </c>
      <c r="P405" s="24">
        <f>IF(OR(F405="",K405=0),0,MAX(0,TODAY()-F405))</f>
        <v/>
      </c>
      <c r="Q405" s="24">
        <f>IF(OR(L405="Paid",L405="Cancelled",F405=""),"",IF(F405&lt;TODAY(),"OVERDUE",IF(F405&lt;=TODAY()+'Setup &amp; Lists'!$M$7,"DUE SOON","")))</f>
        <v/>
      </c>
      <c r="R405" s="18" t="n"/>
    </row>
    <row r="406">
      <c r="A406" s="19" t="n"/>
      <c r="B406" s="18" t="n"/>
      <c r="C406" s="19" t="n"/>
      <c r="D406" s="19" t="n"/>
      <c r="E406" s="20" t="n"/>
      <c r="F406" s="20" t="n"/>
      <c r="G406" s="19" t="n"/>
      <c r="H406" s="19" t="n"/>
      <c r="I406" s="21" t="n"/>
      <c r="J406" s="21" t="n"/>
      <c r="K406" s="22">
        <f>IF(I406="","",MAX(0,I406-J406))</f>
        <v/>
      </c>
      <c r="L406" s="19" t="n"/>
      <c r="M406" s="18" t="n"/>
      <c r="N406" s="19" t="n"/>
      <c r="O406" s="24">
        <f>IF(OR(C406="",D406=""),"",C406&amp;"|"&amp;D406&amp;"|"&amp;TEXT(I406,"0.00"))</f>
        <v/>
      </c>
      <c r="P406" s="24">
        <f>IF(OR(F406="",K406=0),0,MAX(0,TODAY()-F406))</f>
        <v/>
      </c>
      <c r="Q406" s="24">
        <f>IF(OR(L406="Paid",L406="Cancelled",F406=""),"",IF(F406&lt;TODAY(),"OVERDUE",IF(F406&lt;=TODAY()+'Setup &amp; Lists'!$M$7,"DUE SOON","")))</f>
        <v/>
      </c>
      <c r="R406" s="18" t="n"/>
    </row>
    <row r="407">
      <c r="A407" s="19" t="n"/>
      <c r="B407" s="18" t="n"/>
      <c r="C407" s="19" t="n"/>
      <c r="D407" s="19" t="n"/>
      <c r="E407" s="20" t="n"/>
      <c r="F407" s="20" t="n"/>
      <c r="G407" s="19" t="n"/>
      <c r="H407" s="19" t="n"/>
      <c r="I407" s="21" t="n"/>
      <c r="J407" s="21" t="n"/>
      <c r="K407" s="22">
        <f>IF(I407="","",MAX(0,I407-J407))</f>
        <v/>
      </c>
      <c r="L407" s="19" t="n"/>
      <c r="M407" s="18" t="n"/>
      <c r="N407" s="19" t="n"/>
      <c r="O407" s="24">
        <f>IF(OR(C407="",D407=""),"",C407&amp;"|"&amp;D407&amp;"|"&amp;TEXT(I407,"0.00"))</f>
        <v/>
      </c>
      <c r="P407" s="24">
        <f>IF(OR(F407="",K407=0),0,MAX(0,TODAY()-F407))</f>
        <v/>
      </c>
      <c r="Q407" s="24">
        <f>IF(OR(L407="Paid",L407="Cancelled",F407=""),"",IF(F407&lt;TODAY(),"OVERDUE",IF(F407&lt;=TODAY()+'Setup &amp; Lists'!$M$7,"DUE SOON","")))</f>
        <v/>
      </c>
      <c r="R407" s="18" t="n"/>
    </row>
    <row r="408">
      <c r="A408" s="19" t="n"/>
      <c r="B408" s="18" t="n"/>
      <c r="C408" s="19" t="n"/>
      <c r="D408" s="19" t="n"/>
      <c r="E408" s="20" t="n"/>
      <c r="F408" s="20" t="n"/>
      <c r="G408" s="19" t="n"/>
      <c r="H408" s="19" t="n"/>
      <c r="I408" s="21" t="n"/>
      <c r="J408" s="21" t="n"/>
      <c r="K408" s="22">
        <f>IF(I408="","",MAX(0,I408-J408))</f>
        <v/>
      </c>
      <c r="L408" s="19" t="n"/>
      <c r="M408" s="18" t="n"/>
      <c r="N408" s="19" t="n"/>
      <c r="O408" s="24">
        <f>IF(OR(C408="",D408=""),"",C408&amp;"|"&amp;D408&amp;"|"&amp;TEXT(I408,"0.00"))</f>
        <v/>
      </c>
      <c r="P408" s="24">
        <f>IF(OR(F408="",K408=0),0,MAX(0,TODAY()-F408))</f>
        <v/>
      </c>
      <c r="Q408" s="24">
        <f>IF(OR(L408="Paid",L408="Cancelled",F408=""),"",IF(F408&lt;TODAY(),"OVERDUE",IF(F408&lt;=TODAY()+'Setup &amp; Lists'!$M$7,"DUE SOON","")))</f>
        <v/>
      </c>
      <c r="R408" s="18" t="n"/>
    </row>
    <row r="409">
      <c r="A409" s="19" t="n"/>
      <c r="B409" s="18" t="n"/>
      <c r="C409" s="19" t="n"/>
      <c r="D409" s="19" t="n"/>
      <c r="E409" s="20" t="n"/>
      <c r="F409" s="20" t="n"/>
      <c r="G409" s="19" t="n"/>
      <c r="H409" s="19" t="n"/>
      <c r="I409" s="21" t="n"/>
      <c r="J409" s="21" t="n"/>
      <c r="K409" s="22">
        <f>IF(I409="","",MAX(0,I409-J409))</f>
        <v/>
      </c>
      <c r="L409" s="19" t="n"/>
      <c r="M409" s="18" t="n"/>
      <c r="N409" s="19" t="n"/>
      <c r="O409" s="24">
        <f>IF(OR(C409="",D409=""),"",C409&amp;"|"&amp;D409&amp;"|"&amp;TEXT(I409,"0.00"))</f>
        <v/>
      </c>
      <c r="P409" s="24">
        <f>IF(OR(F409="",K409=0),0,MAX(0,TODAY()-F409))</f>
        <v/>
      </c>
      <c r="Q409" s="24">
        <f>IF(OR(L409="Paid",L409="Cancelled",F409=""),"",IF(F409&lt;TODAY(),"OVERDUE",IF(F409&lt;=TODAY()+'Setup &amp; Lists'!$M$7,"DUE SOON","")))</f>
        <v/>
      </c>
      <c r="R409" s="18" t="n"/>
    </row>
    <row r="410">
      <c r="A410" s="19" t="n"/>
      <c r="B410" s="18" t="n"/>
      <c r="C410" s="19" t="n"/>
      <c r="D410" s="19" t="n"/>
      <c r="E410" s="20" t="n"/>
      <c r="F410" s="20" t="n"/>
      <c r="G410" s="19" t="n"/>
      <c r="H410" s="19" t="n"/>
      <c r="I410" s="21" t="n"/>
      <c r="J410" s="21" t="n"/>
      <c r="K410" s="22">
        <f>IF(I410="","",MAX(0,I410-J410))</f>
        <v/>
      </c>
      <c r="L410" s="19" t="n"/>
      <c r="M410" s="18" t="n"/>
      <c r="N410" s="19" t="n"/>
      <c r="O410" s="24">
        <f>IF(OR(C410="",D410=""),"",C410&amp;"|"&amp;D410&amp;"|"&amp;TEXT(I410,"0.00"))</f>
        <v/>
      </c>
      <c r="P410" s="24">
        <f>IF(OR(F410="",K410=0),0,MAX(0,TODAY()-F410))</f>
        <v/>
      </c>
      <c r="Q410" s="24">
        <f>IF(OR(L410="Paid",L410="Cancelled",F410=""),"",IF(F410&lt;TODAY(),"OVERDUE",IF(F410&lt;=TODAY()+'Setup &amp; Lists'!$M$7,"DUE SOON","")))</f>
        <v/>
      </c>
      <c r="R410" s="18" t="n"/>
    </row>
    <row r="411">
      <c r="A411" s="19" t="n"/>
      <c r="B411" s="18" t="n"/>
      <c r="C411" s="19" t="n"/>
      <c r="D411" s="19" t="n"/>
      <c r="E411" s="20" t="n"/>
      <c r="F411" s="20" t="n"/>
      <c r="G411" s="19" t="n"/>
      <c r="H411" s="19" t="n"/>
      <c r="I411" s="21" t="n"/>
      <c r="J411" s="21" t="n"/>
      <c r="K411" s="22">
        <f>IF(I411="","",MAX(0,I411-J411))</f>
        <v/>
      </c>
      <c r="L411" s="19" t="n"/>
      <c r="M411" s="18" t="n"/>
      <c r="N411" s="19" t="n"/>
      <c r="O411" s="24">
        <f>IF(OR(C411="",D411=""),"",C411&amp;"|"&amp;D411&amp;"|"&amp;TEXT(I411,"0.00"))</f>
        <v/>
      </c>
      <c r="P411" s="24">
        <f>IF(OR(F411="",K411=0),0,MAX(0,TODAY()-F411))</f>
        <v/>
      </c>
      <c r="Q411" s="24">
        <f>IF(OR(L411="Paid",L411="Cancelled",F411=""),"",IF(F411&lt;TODAY(),"OVERDUE",IF(F411&lt;=TODAY()+'Setup &amp; Lists'!$M$7,"DUE SOON","")))</f>
        <v/>
      </c>
      <c r="R411" s="18" t="n"/>
    </row>
    <row r="412">
      <c r="A412" s="19" t="n"/>
      <c r="B412" s="18" t="n"/>
      <c r="C412" s="19" t="n"/>
      <c r="D412" s="19" t="n"/>
      <c r="E412" s="20" t="n"/>
      <c r="F412" s="20" t="n"/>
      <c r="G412" s="19" t="n"/>
      <c r="H412" s="19" t="n"/>
      <c r="I412" s="21" t="n"/>
      <c r="J412" s="21" t="n"/>
      <c r="K412" s="22">
        <f>IF(I412="","",MAX(0,I412-J412))</f>
        <v/>
      </c>
      <c r="L412" s="19" t="n"/>
      <c r="M412" s="18" t="n"/>
      <c r="N412" s="19" t="n"/>
      <c r="O412" s="24">
        <f>IF(OR(C412="",D412=""),"",C412&amp;"|"&amp;D412&amp;"|"&amp;TEXT(I412,"0.00"))</f>
        <v/>
      </c>
      <c r="P412" s="24">
        <f>IF(OR(F412="",K412=0),0,MAX(0,TODAY()-F412))</f>
        <v/>
      </c>
      <c r="Q412" s="24">
        <f>IF(OR(L412="Paid",L412="Cancelled",F412=""),"",IF(F412&lt;TODAY(),"OVERDUE",IF(F412&lt;=TODAY()+'Setup &amp; Lists'!$M$7,"DUE SOON","")))</f>
        <v/>
      </c>
      <c r="R412" s="18" t="n"/>
    </row>
    <row r="413">
      <c r="A413" s="19" t="n"/>
      <c r="B413" s="18" t="n"/>
      <c r="C413" s="19" t="n"/>
      <c r="D413" s="19" t="n"/>
      <c r="E413" s="20" t="n"/>
      <c r="F413" s="20" t="n"/>
      <c r="G413" s="19" t="n"/>
      <c r="H413" s="19" t="n"/>
      <c r="I413" s="21" t="n"/>
      <c r="J413" s="21" t="n"/>
      <c r="K413" s="22">
        <f>IF(I413="","",MAX(0,I413-J413))</f>
        <v/>
      </c>
      <c r="L413" s="19" t="n"/>
      <c r="M413" s="18" t="n"/>
      <c r="N413" s="19" t="n"/>
      <c r="O413" s="24">
        <f>IF(OR(C413="",D413=""),"",C413&amp;"|"&amp;D413&amp;"|"&amp;TEXT(I413,"0.00"))</f>
        <v/>
      </c>
      <c r="P413" s="24">
        <f>IF(OR(F413="",K413=0),0,MAX(0,TODAY()-F413))</f>
        <v/>
      </c>
      <c r="Q413" s="24">
        <f>IF(OR(L413="Paid",L413="Cancelled",F413=""),"",IF(F413&lt;TODAY(),"OVERDUE",IF(F413&lt;=TODAY()+'Setup &amp; Lists'!$M$7,"DUE SOON","")))</f>
        <v/>
      </c>
      <c r="R413" s="18" t="n"/>
    </row>
    <row r="414">
      <c r="A414" s="19" t="n"/>
      <c r="B414" s="18" t="n"/>
      <c r="C414" s="19" t="n"/>
      <c r="D414" s="19" t="n"/>
      <c r="E414" s="20" t="n"/>
      <c r="F414" s="20" t="n"/>
      <c r="G414" s="19" t="n"/>
      <c r="H414" s="19" t="n"/>
      <c r="I414" s="21" t="n"/>
      <c r="J414" s="21" t="n"/>
      <c r="K414" s="22">
        <f>IF(I414="","",MAX(0,I414-J414))</f>
        <v/>
      </c>
      <c r="L414" s="19" t="n"/>
      <c r="M414" s="18" t="n"/>
      <c r="N414" s="19" t="n"/>
      <c r="O414" s="24">
        <f>IF(OR(C414="",D414=""),"",C414&amp;"|"&amp;D414&amp;"|"&amp;TEXT(I414,"0.00"))</f>
        <v/>
      </c>
      <c r="P414" s="24">
        <f>IF(OR(F414="",K414=0),0,MAX(0,TODAY()-F414))</f>
        <v/>
      </c>
      <c r="Q414" s="24">
        <f>IF(OR(L414="Paid",L414="Cancelled",F414=""),"",IF(F414&lt;TODAY(),"OVERDUE",IF(F414&lt;=TODAY()+'Setup &amp; Lists'!$M$7,"DUE SOON","")))</f>
        <v/>
      </c>
      <c r="R414" s="18" t="n"/>
    </row>
    <row r="415">
      <c r="A415" s="19" t="n"/>
      <c r="B415" s="18" t="n"/>
      <c r="C415" s="19" t="n"/>
      <c r="D415" s="19" t="n"/>
      <c r="E415" s="20" t="n"/>
      <c r="F415" s="20" t="n"/>
      <c r="G415" s="19" t="n"/>
      <c r="H415" s="19" t="n"/>
      <c r="I415" s="21" t="n"/>
      <c r="J415" s="21" t="n"/>
      <c r="K415" s="22">
        <f>IF(I415="","",MAX(0,I415-J415))</f>
        <v/>
      </c>
      <c r="L415" s="19" t="n"/>
      <c r="M415" s="18" t="n"/>
      <c r="N415" s="19" t="n"/>
      <c r="O415" s="24">
        <f>IF(OR(C415="",D415=""),"",C415&amp;"|"&amp;D415&amp;"|"&amp;TEXT(I415,"0.00"))</f>
        <v/>
      </c>
      <c r="P415" s="24">
        <f>IF(OR(F415="",K415=0),0,MAX(0,TODAY()-F415))</f>
        <v/>
      </c>
      <c r="Q415" s="24">
        <f>IF(OR(L415="Paid",L415="Cancelled",F415=""),"",IF(F415&lt;TODAY(),"OVERDUE",IF(F415&lt;=TODAY()+'Setup &amp; Lists'!$M$7,"DUE SOON","")))</f>
        <v/>
      </c>
      <c r="R415" s="18" t="n"/>
    </row>
    <row r="416">
      <c r="A416" s="19" t="n"/>
      <c r="B416" s="18" t="n"/>
      <c r="C416" s="19" t="n"/>
      <c r="D416" s="19" t="n"/>
      <c r="E416" s="20" t="n"/>
      <c r="F416" s="20" t="n"/>
      <c r="G416" s="19" t="n"/>
      <c r="H416" s="19" t="n"/>
      <c r="I416" s="21" t="n"/>
      <c r="J416" s="21" t="n"/>
      <c r="K416" s="22">
        <f>IF(I416="","",MAX(0,I416-J416))</f>
        <v/>
      </c>
      <c r="L416" s="19" t="n"/>
      <c r="M416" s="18" t="n"/>
      <c r="N416" s="19" t="n"/>
      <c r="O416" s="24">
        <f>IF(OR(C416="",D416=""),"",C416&amp;"|"&amp;D416&amp;"|"&amp;TEXT(I416,"0.00"))</f>
        <v/>
      </c>
      <c r="P416" s="24">
        <f>IF(OR(F416="",K416=0),0,MAX(0,TODAY()-F416))</f>
        <v/>
      </c>
      <c r="Q416" s="24">
        <f>IF(OR(L416="Paid",L416="Cancelled",F416=""),"",IF(F416&lt;TODAY(),"OVERDUE",IF(F416&lt;=TODAY()+'Setup &amp; Lists'!$M$7,"DUE SOON","")))</f>
        <v/>
      </c>
      <c r="R416" s="18" t="n"/>
    </row>
    <row r="417">
      <c r="A417" s="19" t="n"/>
      <c r="B417" s="18" t="n"/>
      <c r="C417" s="19" t="n"/>
      <c r="D417" s="19" t="n"/>
      <c r="E417" s="20" t="n"/>
      <c r="F417" s="20" t="n"/>
      <c r="G417" s="19" t="n"/>
      <c r="H417" s="19" t="n"/>
      <c r="I417" s="21" t="n"/>
      <c r="J417" s="21" t="n"/>
      <c r="K417" s="22">
        <f>IF(I417="","",MAX(0,I417-J417))</f>
        <v/>
      </c>
      <c r="L417" s="19" t="n"/>
      <c r="M417" s="18" t="n"/>
      <c r="N417" s="19" t="n"/>
      <c r="O417" s="24">
        <f>IF(OR(C417="",D417=""),"",C417&amp;"|"&amp;D417&amp;"|"&amp;TEXT(I417,"0.00"))</f>
        <v/>
      </c>
      <c r="P417" s="24">
        <f>IF(OR(F417="",K417=0),0,MAX(0,TODAY()-F417))</f>
        <v/>
      </c>
      <c r="Q417" s="24">
        <f>IF(OR(L417="Paid",L417="Cancelled",F417=""),"",IF(F417&lt;TODAY(),"OVERDUE",IF(F417&lt;=TODAY()+'Setup &amp; Lists'!$M$7,"DUE SOON","")))</f>
        <v/>
      </c>
      <c r="R417" s="18" t="n"/>
    </row>
    <row r="418">
      <c r="A418" s="19" t="n"/>
      <c r="B418" s="18" t="n"/>
      <c r="C418" s="19" t="n"/>
      <c r="D418" s="19" t="n"/>
      <c r="E418" s="20" t="n"/>
      <c r="F418" s="20" t="n"/>
      <c r="G418" s="19" t="n"/>
      <c r="H418" s="19" t="n"/>
      <c r="I418" s="21" t="n"/>
      <c r="J418" s="21" t="n"/>
      <c r="K418" s="22">
        <f>IF(I418="","",MAX(0,I418-J418))</f>
        <v/>
      </c>
      <c r="L418" s="19" t="n"/>
      <c r="M418" s="18" t="n"/>
      <c r="N418" s="19" t="n"/>
      <c r="O418" s="24">
        <f>IF(OR(C418="",D418=""),"",C418&amp;"|"&amp;D418&amp;"|"&amp;TEXT(I418,"0.00"))</f>
        <v/>
      </c>
      <c r="P418" s="24">
        <f>IF(OR(F418="",K418=0),0,MAX(0,TODAY()-F418))</f>
        <v/>
      </c>
      <c r="Q418" s="24">
        <f>IF(OR(L418="Paid",L418="Cancelled",F418=""),"",IF(F418&lt;TODAY(),"OVERDUE",IF(F418&lt;=TODAY()+'Setup &amp; Lists'!$M$7,"DUE SOON","")))</f>
        <v/>
      </c>
      <c r="R418" s="18" t="n"/>
    </row>
    <row r="419">
      <c r="A419" s="19" t="n"/>
      <c r="B419" s="18" t="n"/>
      <c r="C419" s="19" t="n"/>
      <c r="D419" s="19" t="n"/>
      <c r="E419" s="20" t="n"/>
      <c r="F419" s="20" t="n"/>
      <c r="G419" s="19" t="n"/>
      <c r="H419" s="19" t="n"/>
      <c r="I419" s="21" t="n"/>
      <c r="J419" s="21" t="n"/>
      <c r="K419" s="22">
        <f>IF(I419="","",MAX(0,I419-J419))</f>
        <v/>
      </c>
      <c r="L419" s="19" t="n"/>
      <c r="M419" s="18" t="n"/>
      <c r="N419" s="19" t="n"/>
      <c r="O419" s="24">
        <f>IF(OR(C419="",D419=""),"",C419&amp;"|"&amp;D419&amp;"|"&amp;TEXT(I419,"0.00"))</f>
        <v/>
      </c>
      <c r="P419" s="24">
        <f>IF(OR(F419="",K419=0),0,MAX(0,TODAY()-F419))</f>
        <v/>
      </c>
      <c r="Q419" s="24">
        <f>IF(OR(L419="Paid",L419="Cancelled",F419=""),"",IF(F419&lt;TODAY(),"OVERDUE",IF(F419&lt;=TODAY()+'Setup &amp; Lists'!$M$7,"DUE SOON","")))</f>
        <v/>
      </c>
      <c r="R419" s="18" t="n"/>
    </row>
    <row r="420">
      <c r="A420" s="19" t="n"/>
      <c r="B420" s="18" t="n"/>
      <c r="C420" s="19" t="n"/>
      <c r="D420" s="19" t="n"/>
      <c r="E420" s="20" t="n"/>
      <c r="F420" s="20" t="n"/>
      <c r="G420" s="19" t="n"/>
      <c r="H420" s="19" t="n"/>
      <c r="I420" s="21" t="n"/>
      <c r="J420" s="21" t="n"/>
      <c r="K420" s="22">
        <f>IF(I420="","",MAX(0,I420-J420))</f>
        <v/>
      </c>
      <c r="L420" s="19" t="n"/>
      <c r="M420" s="18" t="n"/>
      <c r="N420" s="19" t="n"/>
      <c r="O420" s="24">
        <f>IF(OR(C420="",D420=""),"",C420&amp;"|"&amp;D420&amp;"|"&amp;TEXT(I420,"0.00"))</f>
        <v/>
      </c>
      <c r="P420" s="24">
        <f>IF(OR(F420="",K420=0),0,MAX(0,TODAY()-F420))</f>
        <v/>
      </c>
      <c r="Q420" s="24">
        <f>IF(OR(L420="Paid",L420="Cancelled",F420=""),"",IF(F420&lt;TODAY(),"OVERDUE",IF(F420&lt;=TODAY()+'Setup &amp; Lists'!$M$7,"DUE SOON","")))</f>
        <v/>
      </c>
      <c r="R420" s="18" t="n"/>
    </row>
    <row r="421">
      <c r="A421" s="19" t="n"/>
      <c r="B421" s="18" t="n"/>
      <c r="C421" s="19" t="n"/>
      <c r="D421" s="19" t="n"/>
      <c r="E421" s="20" t="n"/>
      <c r="F421" s="20" t="n"/>
      <c r="G421" s="19" t="n"/>
      <c r="H421" s="19" t="n"/>
      <c r="I421" s="21" t="n"/>
      <c r="J421" s="21" t="n"/>
      <c r="K421" s="22">
        <f>IF(I421="","",MAX(0,I421-J421))</f>
        <v/>
      </c>
      <c r="L421" s="19" t="n"/>
      <c r="M421" s="18" t="n"/>
      <c r="N421" s="19" t="n"/>
      <c r="O421" s="24">
        <f>IF(OR(C421="",D421=""),"",C421&amp;"|"&amp;D421&amp;"|"&amp;TEXT(I421,"0.00"))</f>
        <v/>
      </c>
      <c r="P421" s="24">
        <f>IF(OR(F421="",K421=0),0,MAX(0,TODAY()-F421))</f>
        <v/>
      </c>
      <c r="Q421" s="24">
        <f>IF(OR(L421="Paid",L421="Cancelled",F421=""),"",IF(F421&lt;TODAY(),"OVERDUE",IF(F421&lt;=TODAY()+'Setup &amp; Lists'!$M$7,"DUE SOON","")))</f>
        <v/>
      </c>
      <c r="R421" s="18" t="n"/>
    </row>
    <row r="422">
      <c r="A422" s="19" t="n"/>
      <c r="B422" s="18" t="n"/>
      <c r="C422" s="19" t="n"/>
      <c r="D422" s="19" t="n"/>
      <c r="E422" s="20" t="n"/>
      <c r="F422" s="20" t="n"/>
      <c r="G422" s="19" t="n"/>
      <c r="H422" s="19" t="n"/>
      <c r="I422" s="21" t="n"/>
      <c r="J422" s="21" t="n"/>
      <c r="K422" s="22">
        <f>IF(I422="","",MAX(0,I422-J422))</f>
        <v/>
      </c>
      <c r="L422" s="19" t="n"/>
      <c r="M422" s="18" t="n"/>
      <c r="N422" s="19" t="n"/>
      <c r="O422" s="24">
        <f>IF(OR(C422="",D422=""),"",C422&amp;"|"&amp;D422&amp;"|"&amp;TEXT(I422,"0.00"))</f>
        <v/>
      </c>
      <c r="P422" s="24">
        <f>IF(OR(F422="",K422=0),0,MAX(0,TODAY()-F422))</f>
        <v/>
      </c>
      <c r="Q422" s="24">
        <f>IF(OR(L422="Paid",L422="Cancelled",F422=""),"",IF(F422&lt;TODAY(),"OVERDUE",IF(F422&lt;=TODAY()+'Setup &amp; Lists'!$M$7,"DUE SOON","")))</f>
        <v/>
      </c>
      <c r="R422" s="18" t="n"/>
    </row>
    <row r="423">
      <c r="A423" s="19" t="n"/>
      <c r="B423" s="18" t="n"/>
      <c r="C423" s="19" t="n"/>
      <c r="D423" s="19" t="n"/>
      <c r="E423" s="20" t="n"/>
      <c r="F423" s="20" t="n"/>
      <c r="G423" s="19" t="n"/>
      <c r="H423" s="19" t="n"/>
      <c r="I423" s="21" t="n"/>
      <c r="J423" s="21" t="n"/>
      <c r="K423" s="22">
        <f>IF(I423="","",MAX(0,I423-J423))</f>
        <v/>
      </c>
      <c r="L423" s="19" t="n"/>
      <c r="M423" s="18" t="n"/>
      <c r="N423" s="19" t="n"/>
      <c r="O423" s="24">
        <f>IF(OR(C423="",D423=""),"",C423&amp;"|"&amp;D423&amp;"|"&amp;TEXT(I423,"0.00"))</f>
        <v/>
      </c>
      <c r="P423" s="24">
        <f>IF(OR(F423="",K423=0),0,MAX(0,TODAY()-F423))</f>
        <v/>
      </c>
      <c r="Q423" s="24">
        <f>IF(OR(L423="Paid",L423="Cancelled",F423=""),"",IF(F423&lt;TODAY(),"OVERDUE",IF(F423&lt;=TODAY()+'Setup &amp; Lists'!$M$7,"DUE SOON","")))</f>
        <v/>
      </c>
      <c r="R423" s="18" t="n"/>
    </row>
    <row r="424">
      <c r="A424" s="19" t="n"/>
      <c r="B424" s="18" t="n"/>
      <c r="C424" s="19" t="n"/>
      <c r="D424" s="19" t="n"/>
      <c r="E424" s="20" t="n"/>
      <c r="F424" s="20" t="n"/>
      <c r="G424" s="19" t="n"/>
      <c r="H424" s="19" t="n"/>
      <c r="I424" s="21" t="n"/>
      <c r="J424" s="21" t="n"/>
      <c r="K424" s="22">
        <f>IF(I424="","",MAX(0,I424-J424))</f>
        <v/>
      </c>
      <c r="L424" s="19" t="n"/>
      <c r="M424" s="18" t="n"/>
      <c r="N424" s="19" t="n"/>
      <c r="O424" s="24">
        <f>IF(OR(C424="",D424=""),"",C424&amp;"|"&amp;D424&amp;"|"&amp;TEXT(I424,"0.00"))</f>
        <v/>
      </c>
      <c r="P424" s="24">
        <f>IF(OR(F424="",K424=0),0,MAX(0,TODAY()-F424))</f>
        <v/>
      </c>
      <c r="Q424" s="24">
        <f>IF(OR(L424="Paid",L424="Cancelled",F424=""),"",IF(F424&lt;TODAY(),"OVERDUE",IF(F424&lt;=TODAY()+'Setup &amp; Lists'!$M$7,"DUE SOON","")))</f>
        <v/>
      </c>
      <c r="R424" s="18" t="n"/>
    </row>
    <row r="425">
      <c r="A425" s="19" t="n"/>
      <c r="B425" s="18" t="n"/>
      <c r="C425" s="19" t="n"/>
      <c r="D425" s="19" t="n"/>
      <c r="E425" s="20" t="n"/>
      <c r="F425" s="20" t="n"/>
      <c r="G425" s="19" t="n"/>
      <c r="H425" s="19" t="n"/>
      <c r="I425" s="21" t="n"/>
      <c r="J425" s="21" t="n"/>
      <c r="K425" s="22">
        <f>IF(I425="","",MAX(0,I425-J425))</f>
        <v/>
      </c>
      <c r="L425" s="19" t="n"/>
      <c r="M425" s="18" t="n"/>
      <c r="N425" s="19" t="n"/>
      <c r="O425" s="24">
        <f>IF(OR(C425="",D425=""),"",C425&amp;"|"&amp;D425&amp;"|"&amp;TEXT(I425,"0.00"))</f>
        <v/>
      </c>
      <c r="P425" s="24">
        <f>IF(OR(F425="",K425=0),0,MAX(0,TODAY()-F425))</f>
        <v/>
      </c>
      <c r="Q425" s="24">
        <f>IF(OR(L425="Paid",L425="Cancelled",F425=""),"",IF(F425&lt;TODAY(),"OVERDUE",IF(F425&lt;=TODAY()+'Setup &amp; Lists'!$M$7,"DUE SOON","")))</f>
        <v/>
      </c>
      <c r="R425" s="18" t="n"/>
    </row>
    <row r="426">
      <c r="A426" s="19" t="n"/>
      <c r="B426" s="18" t="n"/>
      <c r="C426" s="19" t="n"/>
      <c r="D426" s="19" t="n"/>
      <c r="E426" s="20" t="n"/>
      <c r="F426" s="20" t="n"/>
      <c r="G426" s="19" t="n"/>
      <c r="H426" s="19" t="n"/>
      <c r="I426" s="21" t="n"/>
      <c r="J426" s="21" t="n"/>
      <c r="K426" s="22">
        <f>IF(I426="","",MAX(0,I426-J426))</f>
        <v/>
      </c>
      <c r="L426" s="19" t="n"/>
      <c r="M426" s="18" t="n"/>
      <c r="N426" s="19" t="n"/>
      <c r="O426" s="24">
        <f>IF(OR(C426="",D426=""),"",C426&amp;"|"&amp;D426&amp;"|"&amp;TEXT(I426,"0.00"))</f>
        <v/>
      </c>
      <c r="P426" s="24">
        <f>IF(OR(F426="",K426=0),0,MAX(0,TODAY()-F426))</f>
        <v/>
      </c>
      <c r="Q426" s="24">
        <f>IF(OR(L426="Paid",L426="Cancelled",F426=""),"",IF(F426&lt;TODAY(),"OVERDUE",IF(F426&lt;=TODAY()+'Setup &amp; Lists'!$M$7,"DUE SOON","")))</f>
        <v/>
      </c>
      <c r="R426" s="18" t="n"/>
    </row>
    <row r="427">
      <c r="A427" s="19" t="n"/>
      <c r="B427" s="18" t="n"/>
      <c r="C427" s="19" t="n"/>
      <c r="D427" s="19" t="n"/>
      <c r="E427" s="20" t="n"/>
      <c r="F427" s="20" t="n"/>
      <c r="G427" s="19" t="n"/>
      <c r="H427" s="19" t="n"/>
      <c r="I427" s="21" t="n"/>
      <c r="J427" s="21" t="n"/>
      <c r="K427" s="22">
        <f>IF(I427="","",MAX(0,I427-J427))</f>
        <v/>
      </c>
      <c r="L427" s="19" t="n"/>
      <c r="M427" s="18" t="n"/>
      <c r="N427" s="19" t="n"/>
      <c r="O427" s="24">
        <f>IF(OR(C427="",D427=""),"",C427&amp;"|"&amp;D427&amp;"|"&amp;TEXT(I427,"0.00"))</f>
        <v/>
      </c>
      <c r="P427" s="24">
        <f>IF(OR(F427="",K427=0),0,MAX(0,TODAY()-F427))</f>
        <v/>
      </c>
      <c r="Q427" s="24">
        <f>IF(OR(L427="Paid",L427="Cancelled",F427=""),"",IF(F427&lt;TODAY(),"OVERDUE",IF(F427&lt;=TODAY()+'Setup &amp; Lists'!$M$7,"DUE SOON","")))</f>
        <v/>
      </c>
      <c r="R427" s="18" t="n"/>
    </row>
    <row r="428">
      <c r="A428" s="19" t="n"/>
      <c r="B428" s="18" t="n"/>
      <c r="C428" s="19" t="n"/>
      <c r="D428" s="19" t="n"/>
      <c r="E428" s="20" t="n"/>
      <c r="F428" s="20" t="n"/>
      <c r="G428" s="19" t="n"/>
      <c r="H428" s="19" t="n"/>
      <c r="I428" s="21" t="n"/>
      <c r="J428" s="21" t="n"/>
      <c r="K428" s="22">
        <f>IF(I428="","",MAX(0,I428-J428))</f>
        <v/>
      </c>
      <c r="L428" s="19" t="n"/>
      <c r="M428" s="18" t="n"/>
      <c r="N428" s="19" t="n"/>
      <c r="O428" s="24">
        <f>IF(OR(C428="",D428=""),"",C428&amp;"|"&amp;D428&amp;"|"&amp;TEXT(I428,"0.00"))</f>
        <v/>
      </c>
      <c r="P428" s="24">
        <f>IF(OR(F428="",K428=0),0,MAX(0,TODAY()-F428))</f>
        <v/>
      </c>
      <c r="Q428" s="24">
        <f>IF(OR(L428="Paid",L428="Cancelled",F428=""),"",IF(F428&lt;TODAY(),"OVERDUE",IF(F428&lt;=TODAY()+'Setup &amp; Lists'!$M$7,"DUE SOON","")))</f>
        <v/>
      </c>
      <c r="R428" s="18" t="n"/>
    </row>
    <row r="429">
      <c r="A429" s="19" t="n"/>
      <c r="B429" s="18" t="n"/>
      <c r="C429" s="19" t="n"/>
      <c r="D429" s="19" t="n"/>
      <c r="E429" s="20" t="n"/>
      <c r="F429" s="20" t="n"/>
      <c r="G429" s="19" t="n"/>
      <c r="H429" s="19" t="n"/>
      <c r="I429" s="21" t="n"/>
      <c r="J429" s="21" t="n"/>
      <c r="K429" s="22">
        <f>IF(I429="","",MAX(0,I429-J429))</f>
        <v/>
      </c>
      <c r="L429" s="19" t="n"/>
      <c r="M429" s="18" t="n"/>
      <c r="N429" s="19" t="n"/>
      <c r="O429" s="24">
        <f>IF(OR(C429="",D429=""),"",C429&amp;"|"&amp;D429&amp;"|"&amp;TEXT(I429,"0.00"))</f>
        <v/>
      </c>
      <c r="P429" s="24">
        <f>IF(OR(F429="",K429=0),0,MAX(0,TODAY()-F429))</f>
        <v/>
      </c>
      <c r="Q429" s="24">
        <f>IF(OR(L429="Paid",L429="Cancelled",F429=""),"",IF(F429&lt;TODAY(),"OVERDUE",IF(F429&lt;=TODAY()+'Setup &amp; Lists'!$M$7,"DUE SOON","")))</f>
        <v/>
      </c>
      <c r="R429" s="18" t="n"/>
    </row>
    <row r="430">
      <c r="A430" s="19" t="n"/>
      <c r="B430" s="18" t="n"/>
      <c r="C430" s="19" t="n"/>
      <c r="D430" s="19" t="n"/>
      <c r="E430" s="20" t="n"/>
      <c r="F430" s="20" t="n"/>
      <c r="G430" s="19" t="n"/>
      <c r="H430" s="19" t="n"/>
      <c r="I430" s="21" t="n"/>
      <c r="J430" s="21" t="n"/>
      <c r="K430" s="22">
        <f>IF(I430="","",MAX(0,I430-J430))</f>
        <v/>
      </c>
      <c r="L430" s="19" t="n"/>
      <c r="M430" s="18" t="n"/>
      <c r="N430" s="19" t="n"/>
      <c r="O430" s="24">
        <f>IF(OR(C430="",D430=""),"",C430&amp;"|"&amp;D430&amp;"|"&amp;TEXT(I430,"0.00"))</f>
        <v/>
      </c>
      <c r="P430" s="24">
        <f>IF(OR(F430="",K430=0),0,MAX(0,TODAY()-F430))</f>
        <v/>
      </c>
      <c r="Q430" s="24">
        <f>IF(OR(L430="Paid",L430="Cancelled",F430=""),"",IF(F430&lt;TODAY(),"OVERDUE",IF(F430&lt;=TODAY()+'Setup &amp; Lists'!$M$7,"DUE SOON","")))</f>
        <v/>
      </c>
      <c r="R430" s="18" t="n"/>
    </row>
    <row r="431">
      <c r="A431" s="19" t="n"/>
      <c r="B431" s="18" t="n"/>
      <c r="C431" s="19" t="n"/>
      <c r="D431" s="19" t="n"/>
      <c r="E431" s="20" t="n"/>
      <c r="F431" s="20" t="n"/>
      <c r="G431" s="19" t="n"/>
      <c r="H431" s="19" t="n"/>
      <c r="I431" s="21" t="n"/>
      <c r="J431" s="21" t="n"/>
      <c r="K431" s="22">
        <f>IF(I431="","",MAX(0,I431-J431))</f>
        <v/>
      </c>
      <c r="L431" s="19" t="n"/>
      <c r="M431" s="18" t="n"/>
      <c r="N431" s="19" t="n"/>
      <c r="O431" s="24">
        <f>IF(OR(C431="",D431=""),"",C431&amp;"|"&amp;D431&amp;"|"&amp;TEXT(I431,"0.00"))</f>
        <v/>
      </c>
      <c r="P431" s="24">
        <f>IF(OR(F431="",K431=0),0,MAX(0,TODAY()-F431))</f>
        <v/>
      </c>
      <c r="Q431" s="24">
        <f>IF(OR(L431="Paid",L431="Cancelled",F431=""),"",IF(F431&lt;TODAY(),"OVERDUE",IF(F431&lt;=TODAY()+'Setup &amp; Lists'!$M$7,"DUE SOON","")))</f>
        <v/>
      </c>
      <c r="R431" s="18" t="n"/>
    </row>
    <row r="432">
      <c r="A432" s="19" t="n"/>
      <c r="B432" s="18" t="n"/>
      <c r="C432" s="19" t="n"/>
      <c r="D432" s="19" t="n"/>
      <c r="E432" s="20" t="n"/>
      <c r="F432" s="20" t="n"/>
      <c r="G432" s="19" t="n"/>
      <c r="H432" s="19" t="n"/>
      <c r="I432" s="21" t="n"/>
      <c r="J432" s="21" t="n"/>
      <c r="K432" s="22">
        <f>IF(I432="","",MAX(0,I432-J432))</f>
        <v/>
      </c>
      <c r="L432" s="19" t="n"/>
      <c r="M432" s="18" t="n"/>
      <c r="N432" s="19" t="n"/>
      <c r="O432" s="24">
        <f>IF(OR(C432="",D432=""),"",C432&amp;"|"&amp;D432&amp;"|"&amp;TEXT(I432,"0.00"))</f>
        <v/>
      </c>
      <c r="P432" s="24">
        <f>IF(OR(F432="",K432=0),0,MAX(0,TODAY()-F432))</f>
        <v/>
      </c>
      <c r="Q432" s="24">
        <f>IF(OR(L432="Paid",L432="Cancelled",F432=""),"",IF(F432&lt;TODAY(),"OVERDUE",IF(F432&lt;=TODAY()+'Setup &amp; Lists'!$M$7,"DUE SOON","")))</f>
        <v/>
      </c>
      <c r="R432" s="18" t="n"/>
    </row>
    <row r="433">
      <c r="A433" s="19" t="n"/>
      <c r="B433" s="18" t="n"/>
      <c r="C433" s="19" t="n"/>
      <c r="D433" s="19" t="n"/>
      <c r="E433" s="20" t="n"/>
      <c r="F433" s="20" t="n"/>
      <c r="G433" s="19" t="n"/>
      <c r="H433" s="19" t="n"/>
      <c r="I433" s="21" t="n"/>
      <c r="J433" s="21" t="n"/>
      <c r="K433" s="22">
        <f>IF(I433="","",MAX(0,I433-J433))</f>
        <v/>
      </c>
      <c r="L433" s="19" t="n"/>
      <c r="M433" s="18" t="n"/>
      <c r="N433" s="19" t="n"/>
      <c r="O433" s="24">
        <f>IF(OR(C433="",D433=""),"",C433&amp;"|"&amp;D433&amp;"|"&amp;TEXT(I433,"0.00"))</f>
        <v/>
      </c>
      <c r="P433" s="24">
        <f>IF(OR(F433="",K433=0),0,MAX(0,TODAY()-F433))</f>
        <v/>
      </c>
      <c r="Q433" s="24">
        <f>IF(OR(L433="Paid",L433="Cancelled",F433=""),"",IF(F433&lt;TODAY(),"OVERDUE",IF(F433&lt;=TODAY()+'Setup &amp; Lists'!$M$7,"DUE SOON","")))</f>
        <v/>
      </c>
      <c r="R433" s="18" t="n"/>
    </row>
    <row r="434">
      <c r="A434" s="19" t="n"/>
      <c r="B434" s="18" t="n"/>
      <c r="C434" s="19" t="n"/>
      <c r="D434" s="19" t="n"/>
      <c r="E434" s="20" t="n"/>
      <c r="F434" s="20" t="n"/>
      <c r="G434" s="19" t="n"/>
      <c r="H434" s="19" t="n"/>
      <c r="I434" s="21" t="n"/>
      <c r="J434" s="21" t="n"/>
      <c r="K434" s="22">
        <f>IF(I434="","",MAX(0,I434-J434))</f>
        <v/>
      </c>
      <c r="L434" s="19" t="n"/>
      <c r="M434" s="18" t="n"/>
      <c r="N434" s="19" t="n"/>
      <c r="O434" s="24">
        <f>IF(OR(C434="",D434=""),"",C434&amp;"|"&amp;D434&amp;"|"&amp;TEXT(I434,"0.00"))</f>
        <v/>
      </c>
      <c r="P434" s="24">
        <f>IF(OR(F434="",K434=0),0,MAX(0,TODAY()-F434))</f>
        <v/>
      </c>
      <c r="Q434" s="24">
        <f>IF(OR(L434="Paid",L434="Cancelled",F434=""),"",IF(F434&lt;TODAY(),"OVERDUE",IF(F434&lt;=TODAY()+'Setup &amp; Lists'!$M$7,"DUE SOON","")))</f>
        <v/>
      </c>
      <c r="R434" s="18" t="n"/>
    </row>
    <row r="435">
      <c r="A435" s="19" t="n"/>
      <c r="B435" s="18" t="n"/>
      <c r="C435" s="19" t="n"/>
      <c r="D435" s="19" t="n"/>
      <c r="E435" s="20" t="n"/>
      <c r="F435" s="20" t="n"/>
      <c r="G435" s="19" t="n"/>
      <c r="H435" s="19" t="n"/>
      <c r="I435" s="21" t="n"/>
      <c r="J435" s="21" t="n"/>
      <c r="K435" s="22">
        <f>IF(I435="","",MAX(0,I435-J435))</f>
        <v/>
      </c>
      <c r="L435" s="19" t="n"/>
      <c r="M435" s="18" t="n"/>
      <c r="N435" s="19" t="n"/>
      <c r="O435" s="24">
        <f>IF(OR(C435="",D435=""),"",C435&amp;"|"&amp;D435&amp;"|"&amp;TEXT(I435,"0.00"))</f>
        <v/>
      </c>
      <c r="P435" s="24">
        <f>IF(OR(F435="",K435=0),0,MAX(0,TODAY()-F435))</f>
        <v/>
      </c>
      <c r="Q435" s="24">
        <f>IF(OR(L435="Paid",L435="Cancelled",F435=""),"",IF(F435&lt;TODAY(),"OVERDUE",IF(F435&lt;=TODAY()+'Setup &amp; Lists'!$M$7,"DUE SOON","")))</f>
        <v/>
      </c>
      <c r="R435" s="18" t="n"/>
    </row>
    <row r="436">
      <c r="A436" s="19" t="n"/>
      <c r="B436" s="18" t="n"/>
      <c r="C436" s="19" t="n"/>
      <c r="D436" s="19" t="n"/>
      <c r="E436" s="20" t="n"/>
      <c r="F436" s="20" t="n"/>
      <c r="G436" s="19" t="n"/>
      <c r="H436" s="19" t="n"/>
      <c r="I436" s="21" t="n"/>
      <c r="J436" s="21" t="n"/>
      <c r="K436" s="22">
        <f>IF(I436="","",MAX(0,I436-J436))</f>
        <v/>
      </c>
      <c r="L436" s="19" t="n"/>
      <c r="M436" s="18" t="n"/>
      <c r="N436" s="19" t="n"/>
      <c r="O436" s="24">
        <f>IF(OR(C436="",D436=""),"",C436&amp;"|"&amp;D436&amp;"|"&amp;TEXT(I436,"0.00"))</f>
        <v/>
      </c>
      <c r="P436" s="24">
        <f>IF(OR(F436="",K436=0),0,MAX(0,TODAY()-F436))</f>
        <v/>
      </c>
      <c r="Q436" s="24">
        <f>IF(OR(L436="Paid",L436="Cancelled",F436=""),"",IF(F436&lt;TODAY(),"OVERDUE",IF(F436&lt;=TODAY()+'Setup &amp; Lists'!$M$7,"DUE SOON","")))</f>
        <v/>
      </c>
      <c r="R436" s="18" t="n"/>
    </row>
    <row r="437">
      <c r="A437" s="19" t="n"/>
      <c r="B437" s="18" t="n"/>
      <c r="C437" s="19" t="n"/>
      <c r="D437" s="19" t="n"/>
      <c r="E437" s="20" t="n"/>
      <c r="F437" s="20" t="n"/>
      <c r="G437" s="19" t="n"/>
      <c r="H437" s="19" t="n"/>
      <c r="I437" s="21" t="n"/>
      <c r="J437" s="21" t="n"/>
      <c r="K437" s="22">
        <f>IF(I437="","",MAX(0,I437-J437))</f>
        <v/>
      </c>
      <c r="L437" s="19" t="n"/>
      <c r="M437" s="18" t="n"/>
      <c r="N437" s="19" t="n"/>
      <c r="O437" s="24">
        <f>IF(OR(C437="",D437=""),"",C437&amp;"|"&amp;D437&amp;"|"&amp;TEXT(I437,"0.00"))</f>
        <v/>
      </c>
      <c r="P437" s="24">
        <f>IF(OR(F437="",K437=0),0,MAX(0,TODAY()-F437))</f>
        <v/>
      </c>
      <c r="Q437" s="24">
        <f>IF(OR(L437="Paid",L437="Cancelled",F437=""),"",IF(F437&lt;TODAY(),"OVERDUE",IF(F437&lt;=TODAY()+'Setup &amp; Lists'!$M$7,"DUE SOON","")))</f>
        <v/>
      </c>
      <c r="R437" s="18" t="n"/>
    </row>
    <row r="438">
      <c r="A438" s="19" t="n"/>
      <c r="B438" s="18" t="n"/>
      <c r="C438" s="19" t="n"/>
      <c r="D438" s="19" t="n"/>
      <c r="E438" s="20" t="n"/>
      <c r="F438" s="20" t="n"/>
      <c r="G438" s="19" t="n"/>
      <c r="H438" s="19" t="n"/>
      <c r="I438" s="21" t="n"/>
      <c r="J438" s="21" t="n"/>
      <c r="K438" s="22">
        <f>IF(I438="","",MAX(0,I438-J438))</f>
        <v/>
      </c>
      <c r="L438" s="19" t="n"/>
      <c r="M438" s="18" t="n"/>
      <c r="N438" s="19" t="n"/>
      <c r="O438" s="24">
        <f>IF(OR(C438="",D438=""),"",C438&amp;"|"&amp;D438&amp;"|"&amp;TEXT(I438,"0.00"))</f>
        <v/>
      </c>
      <c r="P438" s="24">
        <f>IF(OR(F438="",K438=0),0,MAX(0,TODAY()-F438))</f>
        <v/>
      </c>
      <c r="Q438" s="24">
        <f>IF(OR(L438="Paid",L438="Cancelled",F438=""),"",IF(F438&lt;TODAY(),"OVERDUE",IF(F438&lt;=TODAY()+'Setup &amp; Lists'!$M$7,"DUE SOON","")))</f>
        <v/>
      </c>
      <c r="R438" s="18" t="n"/>
    </row>
    <row r="439">
      <c r="A439" s="19" t="n"/>
      <c r="B439" s="18" t="n"/>
      <c r="C439" s="19" t="n"/>
      <c r="D439" s="19" t="n"/>
      <c r="E439" s="20" t="n"/>
      <c r="F439" s="20" t="n"/>
      <c r="G439" s="19" t="n"/>
      <c r="H439" s="19" t="n"/>
      <c r="I439" s="21" t="n"/>
      <c r="J439" s="21" t="n"/>
      <c r="K439" s="22">
        <f>IF(I439="","",MAX(0,I439-J439))</f>
        <v/>
      </c>
      <c r="L439" s="19" t="n"/>
      <c r="M439" s="18" t="n"/>
      <c r="N439" s="19" t="n"/>
      <c r="O439" s="24">
        <f>IF(OR(C439="",D439=""),"",C439&amp;"|"&amp;D439&amp;"|"&amp;TEXT(I439,"0.00"))</f>
        <v/>
      </c>
      <c r="P439" s="24">
        <f>IF(OR(F439="",K439=0),0,MAX(0,TODAY()-F439))</f>
        <v/>
      </c>
      <c r="Q439" s="24">
        <f>IF(OR(L439="Paid",L439="Cancelled",F439=""),"",IF(F439&lt;TODAY(),"OVERDUE",IF(F439&lt;=TODAY()+'Setup &amp; Lists'!$M$7,"DUE SOON","")))</f>
        <v/>
      </c>
      <c r="R439" s="18" t="n"/>
    </row>
    <row r="440">
      <c r="A440" s="19" t="n"/>
      <c r="B440" s="18" t="n"/>
      <c r="C440" s="19" t="n"/>
      <c r="D440" s="19" t="n"/>
      <c r="E440" s="20" t="n"/>
      <c r="F440" s="20" t="n"/>
      <c r="G440" s="19" t="n"/>
      <c r="H440" s="19" t="n"/>
      <c r="I440" s="21" t="n"/>
      <c r="J440" s="21" t="n"/>
      <c r="K440" s="22">
        <f>IF(I440="","",MAX(0,I440-J440))</f>
        <v/>
      </c>
      <c r="L440" s="19" t="n"/>
      <c r="M440" s="18" t="n"/>
      <c r="N440" s="19" t="n"/>
      <c r="O440" s="24">
        <f>IF(OR(C440="",D440=""),"",C440&amp;"|"&amp;D440&amp;"|"&amp;TEXT(I440,"0.00"))</f>
        <v/>
      </c>
      <c r="P440" s="24">
        <f>IF(OR(F440="",K440=0),0,MAX(0,TODAY()-F440))</f>
        <v/>
      </c>
      <c r="Q440" s="24">
        <f>IF(OR(L440="Paid",L440="Cancelled",F440=""),"",IF(F440&lt;TODAY(),"OVERDUE",IF(F440&lt;=TODAY()+'Setup &amp; Lists'!$M$7,"DUE SOON","")))</f>
        <v/>
      </c>
      <c r="R440" s="18" t="n"/>
    </row>
    <row r="441">
      <c r="A441" s="19" t="n"/>
      <c r="B441" s="18" t="n"/>
      <c r="C441" s="19" t="n"/>
      <c r="D441" s="19" t="n"/>
      <c r="E441" s="20" t="n"/>
      <c r="F441" s="20" t="n"/>
      <c r="G441" s="19" t="n"/>
      <c r="H441" s="19" t="n"/>
      <c r="I441" s="21" t="n"/>
      <c r="J441" s="21" t="n"/>
      <c r="K441" s="22">
        <f>IF(I441="","",MAX(0,I441-J441))</f>
        <v/>
      </c>
      <c r="L441" s="19" t="n"/>
      <c r="M441" s="18" t="n"/>
      <c r="N441" s="19" t="n"/>
      <c r="O441" s="24">
        <f>IF(OR(C441="",D441=""),"",C441&amp;"|"&amp;D441&amp;"|"&amp;TEXT(I441,"0.00"))</f>
        <v/>
      </c>
      <c r="P441" s="24">
        <f>IF(OR(F441="",K441=0),0,MAX(0,TODAY()-F441))</f>
        <v/>
      </c>
      <c r="Q441" s="24">
        <f>IF(OR(L441="Paid",L441="Cancelled",F441=""),"",IF(F441&lt;TODAY(),"OVERDUE",IF(F441&lt;=TODAY()+'Setup &amp; Lists'!$M$7,"DUE SOON","")))</f>
        <v/>
      </c>
      <c r="R441" s="18" t="n"/>
    </row>
    <row r="442">
      <c r="A442" s="19" t="n"/>
      <c r="B442" s="18" t="n"/>
      <c r="C442" s="19" t="n"/>
      <c r="D442" s="19" t="n"/>
      <c r="E442" s="20" t="n"/>
      <c r="F442" s="20" t="n"/>
      <c r="G442" s="19" t="n"/>
      <c r="H442" s="19" t="n"/>
      <c r="I442" s="21" t="n"/>
      <c r="J442" s="21" t="n"/>
      <c r="K442" s="22">
        <f>IF(I442="","",MAX(0,I442-J442))</f>
        <v/>
      </c>
      <c r="L442" s="19" t="n"/>
      <c r="M442" s="18" t="n"/>
      <c r="N442" s="19" t="n"/>
      <c r="O442" s="24">
        <f>IF(OR(C442="",D442=""),"",C442&amp;"|"&amp;D442&amp;"|"&amp;TEXT(I442,"0.00"))</f>
        <v/>
      </c>
      <c r="P442" s="24">
        <f>IF(OR(F442="",K442=0),0,MAX(0,TODAY()-F442))</f>
        <v/>
      </c>
      <c r="Q442" s="24">
        <f>IF(OR(L442="Paid",L442="Cancelled",F442=""),"",IF(F442&lt;TODAY(),"OVERDUE",IF(F442&lt;=TODAY()+'Setup &amp; Lists'!$M$7,"DUE SOON","")))</f>
        <v/>
      </c>
      <c r="R442" s="18" t="n"/>
    </row>
    <row r="443">
      <c r="A443" s="19" t="n"/>
      <c r="B443" s="18" t="n"/>
      <c r="C443" s="19" t="n"/>
      <c r="D443" s="19" t="n"/>
      <c r="E443" s="20" t="n"/>
      <c r="F443" s="20" t="n"/>
      <c r="G443" s="19" t="n"/>
      <c r="H443" s="19" t="n"/>
      <c r="I443" s="21" t="n"/>
      <c r="J443" s="21" t="n"/>
      <c r="K443" s="22">
        <f>IF(I443="","",MAX(0,I443-J443))</f>
        <v/>
      </c>
      <c r="L443" s="19" t="n"/>
      <c r="M443" s="18" t="n"/>
      <c r="N443" s="19" t="n"/>
      <c r="O443" s="24">
        <f>IF(OR(C443="",D443=""),"",C443&amp;"|"&amp;D443&amp;"|"&amp;TEXT(I443,"0.00"))</f>
        <v/>
      </c>
      <c r="P443" s="24">
        <f>IF(OR(F443="",K443=0),0,MAX(0,TODAY()-F443))</f>
        <v/>
      </c>
      <c r="Q443" s="24">
        <f>IF(OR(L443="Paid",L443="Cancelled",F443=""),"",IF(F443&lt;TODAY(),"OVERDUE",IF(F443&lt;=TODAY()+'Setup &amp; Lists'!$M$7,"DUE SOON","")))</f>
        <v/>
      </c>
      <c r="R443" s="18" t="n"/>
    </row>
    <row r="444">
      <c r="A444" s="19" t="n"/>
      <c r="B444" s="18" t="n"/>
      <c r="C444" s="19" t="n"/>
      <c r="D444" s="19" t="n"/>
      <c r="E444" s="20" t="n"/>
      <c r="F444" s="20" t="n"/>
      <c r="G444" s="19" t="n"/>
      <c r="H444" s="19" t="n"/>
      <c r="I444" s="21" t="n"/>
      <c r="J444" s="21" t="n"/>
      <c r="K444" s="22">
        <f>IF(I444="","",MAX(0,I444-J444))</f>
        <v/>
      </c>
      <c r="L444" s="19" t="n"/>
      <c r="M444" s="18" t="n"/>
      <c r="N444" s="19" t="n"/>
      <c r="O444" s="24">
        <f>IF(OR(C444="",D444=""),"",C444&amp;"|"&amp;D444&amp;"|"&amp;TEXT(I444,"0.00"))</f>
        <v/>
      </c>
      <c r="P444" s="24">
        <f>IF(OR(F444="",K444=0),0,MAX(0,TODAY()-F444))</f>
        <v/>
      </c>
      <c r="Q444" s="24">
        <f>IF(OR(L444="Paid",L444="Cancelled",F444=""),"",IF(F444&lt;TODAY(),"OVERDUE",IF(F444&lt;=TODAY()+'Setup &amp; Lists'!$M$7,"DUE SOON","")))</f>
        <v/>
      </c>
      <c r="R444" s="18" t="n"/>
    </row>
    <row r="445">
      <c r="A445" s="19" t="n"/>
      <c r="B445" s="18" t="n"/>
      <c r="C445" s="19" t="n"/>
      <c r="D445" s="19" t="n"/>
      <c r="E445" s="20" t="n"/>
      <c r="F445" s="20" t="n"/>
      <c r="G445" s="19" t="n"/>
      <c r="H445" s="19" t="n"/>
      <c r="I445" s="21" t="n"/>
      <c r="J445" s="21" t="n"/>
      <c r="K445" s="22">
        <f>IF(I445="","",MAX(0,I445-J445))</f>
        <v/>
      </c>
      <c r="L445" s="19" t="n"/>
      <c r="M445" s="18" t="n"/>
      <c r="N445" s="19" t="n"/>
      <c r="O445" s="24">
        <f>IF(OR(C445="",D445=""),"",C445&amp;"|"&amp;D445&amp;"|"&amp;TEXT(I445,"0.00"))</f>
        <v/>
      </c>
      <c r="P445" s="24">
        <f>IF(OR(F445="",K445=0),0,MAX(0,TODAY()-F445))</f>
        <v/>
      </c>
      <c r="Q445" s="24">
        <f>IF(OR(L445="Paid",L445="Cancelled",F445=""),"",IF(F445&lt;TODAY(),"OVERDUE",IF(F445&lt;=TODAY()+'Setup &amp; Lists'!$M$7,"DUE SOON","")))</f>
        <v/>
      </c>
      <c r="R445" s="18" t="n"/>
    </row>
    <row r="446">
      <c r="A446" s="19" t="n"/>
      <c r="B446" s="18" t="n"/>
      <c r="C446" s="19" t="n"/>
      <c r="D446" s="19" t="n"/>
      <c r="E446" s="20" t="n"/>
      <c r="F446" s="20" t="n"/>
      <c r="G446" s="19" t="n"/>
      <c r="H446" s="19" t="n"/>
      <c r="I446" s="21" t="n"/>
      <c r="J446" s="21" t="n"/>
      <c r="K446" s="22">
        <f>IF(I446="","",MAX(0,I446-J446))</f>
        <v/>
      </c>
      <c r="L446" s="19" t="n"/>
      <c r="M446" s="18" t="n"/>
      <c r="N446" s="19" t="n"/>
      <c r="O446" s="24">
        <f>IF(OR(C446="",D446=""),"",C446&amp;"|"&amp;D446&amp;"|"&amp;TEXT(I446,"0.00"))</f>
        <v/>
      </c>
      <c r="P446" s="24">
        <f>IF(OR(F446="",K446=0),0,MAX(0,TODAY()-F446))</f>
        <v/>
      </c>
      <c r="Q446" s="24">
        <f>IF(OR(L446="Paid",L446="Cancelled",F446=""),"",IF(F446&lt;TODAY(),"OVERDUE",IF(F446&lt;=TODAY()+'Setup &amp; Lists'!$M$7,"DUE SOON","")))</f>
        <v/>
      </c>
      <c r="R446" s="18" t="n"/>
    </row>
    <row r="447">
      <c r="A447" s="19" t="n"/>
      <c r="B447" s="18" t="n"/>
      <c r="C447" s="19" t="n"/>
      <c r="D447" s="19" t="n"/>
      <c r="E447" s="20" t="n"/>
      <c r="F447" s="20" t="n"/>
      <c r="G447" s="19" t="n"/>
      <c r="H447" s="19" t="n"/>
      <c r="I447" s="21" t="n"/>
      <c r="J447" s="21" t="n"/>
      <c r="K447" s="22">
        <f>IF(I447="","",MAX(0,I447-J447))</f>
        <v/>
      </c>
      <c r="L447" s="19" t="n"/>
      <c r="M447" s="18" t="n"/>
      <c r="N447" s="19" t="n"/>
      <c r="O447" s="24">
        <f>IF(OR(C447="",D447=""),"",C447&amp;"|"&amp;D447&amp;"|"&amp;TEXT(I447,"0.00"))</f>
        <v/>
      </c>
      <c r="P447" s="24">
        <f>IF(OR(F447="",K447=0),0,MAX(0,TODAY()-F447))</f>
        <v/>
      </c>
      <c r="Q447" s="24">
        <f>IF(OR(L447="Paid",L447="Cancelled",F447=""),"",IF(F447&lt;TODAY(),"OVERDUE",IF(F447&lt;=TODAY()+'Setup &amp; Lists'!$M$7,"DUE SOON","")))</f>
        <v/>
      </c>
      <c r="R447" s="18" t="n"/>
    </row>
    <row r="448">
      <c r="A448" s="19" t="n"/>
      <c r="B448" s="18" t="n"/>
      <c r="C448" s="19" t="n"/>
      <c r="D448" s="19" t="n"/>
      <c r="E448" s="20" t="n"/>
      <c r="F448" s="20" t="n"/>
      <c r="G448" s="19" t="n"/>
      <c r="H448" s="19" t="n"/>
      <c r="I448" s="21" t="n"/>
      <c r="J448" s="21" t="n"/>
      <c r="K448" s="22">
        <f>IF(I448="","",MAX(0,I448-J448))</f>
        <v/>
      </c>
      <c r="L448" s="19" t="n"/>
      <c r="M448" s="18" t="n"/>
      <c r="N448" s="19" t="n"/>
      <c r="O448" s="24">
        <f>IF(OR(C448="",D448=""),"",C448&amp;"|"&amp;D448&amp;"|"&amp;TEXT(I448,"0.00"))</f>
        <v/>
      </c>
      <c r="P448" s="24">
        <f>IF(OR(F448="",K448=0),0,MAX(0,TODAY()-F448))</f>
        <v/>
      </c>
      <c r="Q448" s="24">
        <f>IF(OR(L448="Paid",L448="Cancelled",F448=""),"",IF(F448&lt;TODAY(),"OVERDUE",IF(F448&lt;=TODAY()+'Setup &amp; Lists'!$M$7,"DUE SOON","")))</f>
        <v/>
      </c>
      <c r="R448" s="18" t="n"/>
    </row>
    <row r="449">
      <c r="A449" s="19" t="n"/>
      <c r="B449" s="18" t="n"/>
      <c r="C449" s="19" t="n"/>
      <c r="D449" s="19" t="n"/>
      <c r="E449" s="20" t="n"/>
      <c r="F449" s="20" t="n"/>
      <c r="G449" s="19" t="n"/>
      <c r="H449" s="19" t="n"/>
      <c r="I449" s="21" t="n"/>
      <c r="J449" s="21" t="n"/>
      <c r="K449" s="22">
        <f>IF(I449="","",MAX(0,I449-J449))</f>
        <v/>
      </c>
      <c r="L449" s="19" t="n"/>
      <c r="M449" s="18" t="n"/>
      <c r="N449" s="19" t="n"/>
      <c r="O449" s="24">
        <f>IF(OR(C449="",D449=""),"",C449&amp;"|"&amp;D449&amp;"|"&amp;TEXT(I449,"0.00"))</f>
        <v/>
      </c>
      <c r="P449" s="24">
        <f>IF(OR(F449="",K449=0),0,MAX(0,TODAY()-F449))</f>
        <v/>
      </c>
      <c r="Q449" s="24">
        <f>IF(OR(L449="Paid",L449="Cancelled",F449=""),"",IF(F449&lt;TODAY(),"OVERDUE",IF(F449&lt;=TODAY()+'Setup &amp; Lists'!$M$7,"DUE SOON","")))</f>
        <v/>
      </c>
      <c r="R449" s="18" t="n"/>
    </row>
    <row r="450">
      <c r="A450" s="19" t="n"/>
      <c r="B450" s="18" t="n"/>
      <c r="C450" s="19" t="n"/>
      <c r="D450" s="19" t="n"/>
      <c r="E450" s="20" t="n"/>
      <c r="F450" s="20" t="n"/>
      <c r="G450" s="19" t="n"/>
      <c r="H450" s="19" t="n"/>
      <c r="I450" s="21" t="n"/>
      <c r="J450" s="21" t="n"/>
      <c r="K450" s="22">
        <f>IF(I450="","",MAX(0,I450-J450))</f>
        <v/>
      </c>
      <c r="L450" s="19" t="n"/>
      <c r="M450" s="18" t="n"/>
      <c r="N450" s="19" t="n"/>
      <c r="O450" s="24">
        <f>IF(OR(C450="",D450=""),"",C450&amp;"|"&amp;D450&amp;"|"&amp;TEXT(I450,"0.00"))</f>
        <v/>
      </c>
      <c r="P450" s="24">
        <f>IF(OR(F450="",K450=0),0,MAX(0,TODAY()-F450))</f>
        <v/>
      </c>
      <c r="Q450" s="24">
        <f>IF(OR(L450="Paid",L450="Cancelled",F450=""),"",IF(F450&lt;TODAY(),"OVERDUE",IF(F450&lt;=TODAY()+'Setup &amp; Lists'!$M$7,"DUE SOON","")))</f>
        <v/>
      </c>
      <c r="R450" s="18" t="n"/>
    </row>
    <row r="451">
      <c r="A451" s="19" t="n"/>
      <c r="B451" s="18" t="n"/>
      <c r="C451" s="19" t="n"/>
      <c r="D451" s="19" t="n"/>
      <c r="E451" s="20" t="n"/>
      <c r="F451" s="20" t="n"/>
      <c r="G451" s="19" t="n"/>
      <c r="H451" s="19" t="n"/>
      <c r="I451" s="21" t="n"/>
      <c r="J451" s="21" t="n"/>
      <c r="K451" s="22">
        <f>IF(I451="","",MAX(0,I451-J451))</f>
        <v/>
      </c>
      <c r="L451" s="19" t="n"/>
      <c r="M451" s="18" t="n"/>
      <c r="N451" s="19" t="n"/>
      <c r="O451" s="24">
        <f>IF(OR(C451="",D451=""),"",C451&amp;"|"&amp;D451&amp;"|"&amp;TEXT(I451,"0.00"))</f>
        <v/>
      </c>
      <c r="P451" s="24">
        <f>IF(OR(F451="",K451=0),0,MAX(0,TODAY()-F451))</f>
        <v/>
      </c>
      <c r="Q451" s="24">
        <f>IF(OR(L451="Paid",L451="Cancelled",F451=""),"",IF(F451&lt;TODAY(),"OVERDUE",IF(F451&lt;=TODAY()+'Setup &amp; Lists'!$M$7,"DUE SOON","")))</f>
        <v/>
      </c>
      <c r="R451" s="18" t="n"/>
    </row>
    <row r="452">
      <c r="A452" s="19" t="n"/>
      <c r="B452" s="18" t="n"/>
      <c r="C452" s="19" t="n"/>
      <c r="D452" s="19" t="n"/>
      <c r="E452" s="20" t="n"/>
      <c r="F452" s="20" t="n"/>
      <c r="G452" s="19" t="n"/>
      <c r="H452" s="19" t="n"/>
      <c r="I452" s="21" t="n"/>
      <c r="J452" s="21" t="n"/>
      <c r="K452" s="22">
        <f>IF(I452="","",MAX(0,I452-J452))</f>
        <v/>
      </c>
      <c r="L452" s="19" t="n"/>
      <c r="M452" s="18" t="n"/>
      <c r="N452" s="19" t="n"/>
      <c r="O452" s="24">
        <f>IF(OR(C452="",D452=""),"",C452&amp;"|"&amp;D452&amp;"|"&amp;TEXT(I452,"0.00"))</f>
        <v/>
      </c>
      <c r="P452" s="24">
        <f>IF(OR(F452="",K452=0),0,MAX(0,TODAY()-F452))</f>
        <v/>
      </c>
      <c r="Q452" s="24">
        <f>IF(OR(L452="Paid",L452="Cancelled",F452=""),"",IF(F452&lt;TODAY(),"OVERDUE",IF(F452&lt;=TODAY()+'Setup &amp; Lists'!$M$7,"DUE SOON","")))</f>
        <v/>
      </c>
      <c r="R452" s="18" t="n"/>
    </row>
    <row r="453">
      <c r="A453" s="19" t="n"/>
      <c r="B453" s="18" t="n"/>
      <c r="C453" s="19" t="n"/>
      <c r="D453" s="19" t="n"/>
      <c r="E453" s="20" t="n"/>
      <c r="F453" s="20" t="n"/>
      <c r="G453" s="19" t="n"/>
      <c r="H453" s="19" t="n"/>
      <c r="I453" s="21" t="n"/>
      <c r="J453" s="21" t="n"/>
      <c r="K453" s="22">
        <f>IF(I453="","",MAX(0,I453-J453))</f>
        <v/>
      </c>
      <c r="L453" s="19" t="n"/>
      <c r="M453" s="18" t="n"/>
      <c r="N453" s="19" t="n"/>
      <c r="O453" s="24">
        <f>IF(OR(C453="",D453=""),"",C453&amp;"|"&amp;D453&amp;"|"&amp;TEXT(I453,"0.00"))</f>
        <v/>
      </c>
      <c r="P453" s="24">
        <f>IF(OR(F453="",K453=0),0,MAX(0,TODAY()-F453))</f>
        <v/>
      </c>
      <c r="Q453" s="24">
        <f>IF(OR(L453="Paid",L453="Cancelled",F453=""),"",IF(F453&lt;TODAY(),"OVERDUE",IF(F453&lt;=TODAY()+'Setup &amp; Lists'!$M$7,"DUE SOON","")))</f>
        <v/>
      </c>
      <c r="R453" s="18" t="n"/>
    </row>
    <row r="454">
      <c r="A454" s="19" t="n"/>
      <c r="B454" s="18" t="n"/>
      <c r="C454" s="19" t="n"/>
      <c r="D454" s="19" t="n"/>
      <c r="E454" s="20" t="n"/>
      <c r="F454" s="20" t="n"/>
      <c r="G454" s="19" t="n"/>
      <c r="H454" s="19" t="n"/>
      <c r="I454" s="21" t="n"/>
      <c r="J454" s="21" t="n"/>
      <c r="K454" s="22">
        <f>IF(I454="","",MAX(0,I454-J454))</f>
        <v/>
      </c>
      <c r="L454" s="19" t="n"/>
      <c r="M454" s="18" t="n"/>
      <c r="N454" s="19" t="n"/>
      <c r="O454" s="24">
        <f>IF(OR(C454="",D454=""),"",C454&amp;"|"&amp;D454&amp;"|"&amp;TEXT(I454,"0.00"))</f>
        <v/>
      </c>
      <c r="P454" s="24">
        <f>IF(OR(F454="",K454=0),0,MAX(0,TODAY()-F454))</f>
        <v/>
      </c>
      <c r="Q454" s="24">
        <f>IF(OR(L454="Paid",L454="Cancelled",F454=""),"",IF(F454&lt;TODAY(),"OVERDUE",IF(F454&lt;=TODAY()+'Setup &amp; Lists'!$M$7,"DUE SOON","")))</f>
        <v/>
      </c>
      <c r="R454" s="18" t="n"/>
    </row>
    <row r="455">
      <c r="A455" s="19" t="n"/>
      <c r="B455" s="18" t="n"/>
      <c r="C455" s="19" t="n"/>
      <c r="D455" s="19" t="n"/>
      <c r="E455" s="20" t="n"/>
      <c r="F455" s="20" t="n"/>
      <c r="G455" s="19" t="n"/>
      <c r="H455" s="19" t="n"/>
      <c r="I455" s="21" t="n"/>
      <c r="J455" s="21" t="n"/>
      <c r="K455" s="22">
        <f>IF(I455="","",MAX(0,I455-J455))</f>
        <v/>
      </c>
      <c r="L455" s="19" t="n"/>
      <c r="M455" s="18" t="n"/>
      <c r="N455" s="19" t="n"/>
      <c r="O455" s="24">
        <f>IF(OR(C455="",D455=""),"",C455&amp;"|"&amp;D455&amp;"|"&amp;TEXT(I455,"0.00"))</f>
        <v/>
      </c>
      <c r="P455" s="24">
        <f>IF(OR(F455="",K455=0),0,MAX(0,TODAY()-F455))</f>
        <v/>
      </c>
      <c r="Q455" s="24">
        <f>IF(OR(L455="Paid",L455="Cancelled",F455=""),"",IF(F455&lt;TODAY(),"OVERDUE",IF(F455&lt;=TODAY()+'Setup &amp; Lists'!$M$7,"DUE SOON","")))</f>
        <v/>
      </c>
      <c r="R455" s="18" t="n"/>
    </row>
    <row r="456">
      <c r="A456" s="19" t="n"/>
      <c r="B456" s="18" t="n"/>
      <c r="C456" s="19" t="n"/>
      <c r="D456" s="19" t="n"/>
      <c r="E456" s="20" t="n"/>
      <c r="F456" s="20" t="n"/>
      <c r="G456" s="19" t="n"/>
      <c r="H456" s="19" t="n"/>
      <c r="I456" s="21" t="n"/>
      <c r="J456" s="21" t="n"/>
      <c r="K456" s="22">
        <f>IF(I456="","",MAX(0,I456-J456))</f>
        <v/>
      </c>
      <c r="L456" s="19" t="n"/>
      <c r="M456" s="18" t="n"/>
      <c r="N456" s="19" t="n"/>
      <c r="O456" s="24">
        <f>IF(OR(C456="",D456=""),"",C456&amp;"|"&amp;D456&amp;"|"&amp;TEXT(I456,"0.00"))</f>
        <v/>
      </c>
      <c r="P456" s="24">
        <f>IF(OR(F456="",K456=0),0,MAX(0,TODAY()-F456))</f>
        <v/>
      </c>
      <c r="Q456" s="24">
        <f>IF(OR(L456="Paid",L456="Cancelled",F456=""),"",IF(F456&lt;TODAY(),"OVERDUE",IF(F456&lt;=TODAY()+'Setup &amp; Lists'!$M$7,"DUE SOON","")))</f>
        <v/>
      </c>
      <c r="R456" s="18" t="n"/>
    </row>
    <row r="457">
      <c r="A457" s="19" t="n"/>
      <c r="B457" s="18" t="n"/>
      <c r="C457" s="19" t="n"/>
      <c r="D457" s="19" t="n"/>
      <c r="E457" s="20" t="n"/>
      <c r="F457" s="20" t="n"/>
      <c r="G457" s="19" t="n"/>
      <c r="H457" s="19" t="n"/>
      <c r="I457" s="21" t="n"/>
      <c r="J457" s="21" t="n"/>
      <c r="K457" s="22">
        <f>IF(I457="","",MAX(0,I457-J457))</f>
        <v/>
      </c>
      <c r="L457" s="19" t="n"/>
      <c r="M457" s="18" t="n"/>
      <c r="N457" s="19" t="n"/>
      <c r="O457" s="24">
        <f>IF(OR(C457="",D457=""),"",C457&amp;"|"&amp;D457&amp;"|"&amp;TEXT(I457,"0.00"))</f>
        <v/>
      </c>
      <c r="P457" s="24">
        <f>IF(OR(F457="",K457=0),0,MAX(0,TODAY()-F457))</f>
        <v/>
      </c>
      <c r="Q457" s="24">
        <f>IF(OR(L457="Paid",L457="Cancelled",F457=""),"",IF(F457&lt;TODAY(),"OVERDUE",IF(F457&lt;=TODAY()+'Setup &amp; Lists'!$M$7,"DUE SOON","")))</f>
        <v/>
      </c>
      <c r="R457" s="18" t="n"/>
    </row>
    <row r="458">
      <c r="A458" s="19" t="n"/>
      <c r="B458" s="18" t="n"/>
      <c r="C458" s="19" t="n"/>
      <c r="D458" s="19" t="n"/>
      <c r="E458" s="20" t="n"/>
      <c r="F458" s="20" t="n"/>
      <c r="G458" s="19" t="n"/>
      <c r="H458" s="19" t="n"/>
      <c r="I458" s="21" t="n"/>
      <c r="J458" s="21" t="n"/>
      <c r="K458" s="22">
        <f>IF(I458="","",MAX(0,I458-J458))</f>
        <v/>
      </c>
      <c r="L458" s="19" t="n"/>
      <c r="M458" s="18" t="n"/>
      <c r="N458" s="19" t="n"/>
      <c r="O458" s="24">
        <f>IF(OR(C458="",D458=""),"",C458&amp;"|"&amp;D458&amp;"|"&amp;TEXT(I458,"0.00"))</f>
        <v/>
      </c>
      <c r="P458" s="24">
        <f>IF(OR(F458="",K458=0),0,MAX(0,TODAY()-F458))</f>
        <v/>
      </c>
      <c r="Q458" s="24">
        <f>IF(OR(L458="Paid",L458="Cancelled",F458=""),"",IF(F458&lt;TODAY(),"OVERDUE",IF(F458&lt;=TODAY()+'Setup &amp; Lists'!$M$7,"DUE SOON","")))</f>
        <v/>
      </c>
      <c r="R458" s="18" t="n"/>
    </row>
    <row r="459">
      <c r="A459" s="19" t="n"/>
      <c r="B459" s="18" t="n"/>
      <c r="C459" s="19" t="n"/>
      <c r="D459" s="19" t="n"/>
      <c r="E459" s="20" t="n"/>
      <c r="F459" s="20" t="n"/>
      <c r="G459" s="19" t="n"/>
      <c r="H459" s="19" t="n"/>
      <c r="I459" s="21" t="n"/>
      <c r="J459" s="21" t="n"/>
      <c r="K459" s="22">
        <f>IF(I459="","",MAX(0,I459-J459))</f>
        <v/>
      </c>
      <c r="L459" s="19" t="n"/>
      <c r="M459" s="18" t="n"/>
      <c r="N459" s="19" t="n"/>
      <c r="O459" s="24">
        <f>IF(OR(C459="",D459=""),"",C459&amp;"|"&amp;D459&amp;"|"&amp;TEXT(I459,"0.00"))</f>
        <v/>
      </c>
      <c r="P459" s="24">
        <f>IF(OR(F459="",K459=0),0,MAX(0,TODAY()-F459))</f>
        <v/>
      </c>
      <c r="Q459" s="24">
        <f>IF(OR(L459="Paid",L459="Cancelled",F459=""),"",IF(F459&lt;TODAY(),"OVERDUE",IF(F459&lt;=TODAY()+'Setup &amp; Lists'!$M$7,"DUE SOON","")))</f>
        <v/>
      </c>
      <c r="R459" s="18" t="n"/>
    </row>
    <row r="460">
      <c r="A460" s="19" t="n"/>
      <c r="B460" s="18" t="n"/>
      <c r="C460" s="19" t="n"/>
      <c r="D460" s="19" t="n"/>
      <c r="E460" s="20" t="n"/>
      <c r="F460" s="20" t="n"/>
      <c r="G460" s="19" t="n"/>
      <c r="H460" s="19" t="n"/>
      <c r="I460" s="21" t="n"/>
      <c r="J460" s="21" t="n"/>
      <c r="K460" s="22">
        <f>IF(I460="","",MAX(0,I460-J460))</f>
        <v/>
      </c>
      <c r="L460" s="19" t="n"/>
      <c r="M460" s="18" t="n"/>
      <c r="N460" s="19" t="n"/>
      <c r="O460" s="24">
        <f>IF(OR(C460="",D460=""),"",C460&amp;"|"&amp;D460&amp;"|"&amp;TEXT(I460,"0.00"))</f>
        <v/>
      </c>
      <c r="P460" s="24">
        <f>IF(OR(F460="",K460=0),0,MAX(0,TODAY()-F460))</f>
        <v/>
      </c>
      <c r="Q460" s="24">
        <f>IF(OR(L460="Paid",L460="Cancelled",F460=""),"",IF(F460&lt;TODAY(),"OVERDUE",IF(F460&lt;=TODAY()+'Setup &amp; Lists'!$M$7,"DUE SOON","")))</f>
        <v/>
      </c>
      <c r="R460" s="18" t="n"/>
    </row>
    <row r="461">
      <c r="A461" s="19" t="n"/>
      <c r="B461" s="18" t="n"/>
      <c r="C461" s="19" t="n"/>
      <c r="D461" s="19" t="n"/>
      <c r="E461" s="20" t="n"/>
      <c r="F461" s="20" t="n"/>
      <c r="G461" s="19" t="n"/>
      <c r="H461" s="19" t="n"/>
      <c r="I461" s="21" t="n"/>
      <c r="J461" s="21" t="n"/>
      <c r="K461" s="22">
        <f>IF(I461="","",MAX(0,I461-J461))</f>
        <v/>
      </c>
      <c r="L461" s="19" t="n"/>
      <c r="M461" s="18" t="n"/>
      <c r="N461" s="19" t="n"/>
      <c r="O461" s="24">
        <f>IF(OR(C461="",D461=""),"",C461&amp;"|"&amp;D461&amp;"|"&amp;TEXT(I461,"0.00"))</f>
        <v/>
      </c>
      <c r="P461" s="24">
        <f>IF(OR(F461="",K461=0),0,MAX(0,TODAY()-F461))</f>
        <v/>
      </c>
      <c r="Q461" s="24">
        <f>IF(OR(L461="Paid",L461="Cancelled",F461=""),"",IF(F461&lt;TODAY(),"OVERDUE",IF(F461&lt;=TODAY()+'Setup &amp; Lists'!$M$7,"DUE SOON","")))</f>
        <v/>
      </c>
      <c r="R461" s="18" t="n"/>
    </row>
    <row r="462">
      <c r="A462" s="19" t="n"/>
      <c r="B462" s="18" t="n"/>
      <c r="C462" s="19" t="n"/>
      <c r="D462" s="19" t="n"/>
      <c r="E462" s="20" t="n"/>
      <c r="F462" s="20" t="n"/>
      <c r="G462" s="19" t="n"/>
      <c r="H462" s="19" t="n"/>
      <c r="I462" s="21" t="n"/>
      <c r="J462" s="21" t="n"/>
      <c r="K462" s="22">
        <f>IF(I462="","",MAX(0,I462-J462))</f>
        <v/>
      </c>
      <c r="L462" s="19" t="n"/>
      <c r="M462" s="18" t="n"/>
      <c r="N462" s="19" t="n"/>
      <c r="O462" s="24">
        <f>IF(OR(C462="",D462=""),"",C462&amp;"|"&amp;D462&amp;"|"&amp;TEXT(I462,"0.00"))</f>
        <v/>
      </c>
      <c r="P462" s="24">
        <f>IF(OR(F462="",K462=0),0,MAX(0,TODAY()-F462))</f>
        <v/>
      </c>
      <c r="Q462" s="24">
        <f>IF(OR(L462="Paid",L462="Cancelled",F462=""),"",IF(F462&lt;TODAY(),"OVERDUE",IF(F462&lt;=TODAY()+'Setup &amp; Lists'!$M$7,"DUE SOON","")))</f>
        <v/>
      </c>
      <c r="R462" s="18" t="n"/>
    </row>
    <row r="463">
      <c r="A463" s="19" t="n"/>
      <c r="B463" s="18" t="n"/>
      <c r="C463" s="19" t="n"/>
      <c r="D463" s="19" t="n"/>
      <c r="E463" s="20" t="n"/>
      <c r="F463" s="20" t="n"/>
      <c r="G463" s="19" t="n"/>
      <c r="H463" s="19" t="n"/>
      <c r="I463" s="21" t="n"/>
      <c r="J463" s="21" t="n"/>
      <c r="K463" s="22">
        <f>IF(I463="","",MAX(0,I463-J463))</f>
        <v/>
      </c>
      <c r="L463" s="19" t="n"/>
      <c r="M463" s="18" t="n"/>
      <c r="N463" s="19" t="n"/>
      <c r="O463" s="24">
        <f>IF(OR(C463="",D463=""),"",C463&amp;"|"&amp;D463&amp;"|"&amp;TEXT(I463,"0.00"))</f>
        <v/>
      </c>
      <c r="P463" s="24">
        <f>IF(OR(F463="",K463=0),0,MAX(0,TODAY()-F463))</f>
        <v/>
      </c>
      <c r="Q463" s="24">
        <f>IF(OR(L463="Paid",L463="Cancelled",F463=""),"",IF(F463&lt;TODAY(),"OVERDUE",IF(F463&lt;=TODAY()+'Setup &amp; Lists'!$M$7,"DUE SOON","")))</f>
        <v/>
      </c>
      <c r="R463" s="18" t="n"/>
    </row>
    <row r="464">
      <c r="A464" s="19" t="n"/>
      <c r="B464" s="18" t="n"/>
      <c r="C464" s="19" t="n"/>
      <c r="D464" s="19" t="n"/>
      <c r="E464" s="20" t="n"/>
      <c r="F464" s="20" t="n"/>
      <c r="G464" s="19" t="n"/>
      <c r="H464" s="19" t="n"/>
      <c r="I464" s="21" t="n"/>
      <c r="J464" s="21" t="n"/>
      <c r="K464" s="22">
        <f>IF(I464="","",MAX(0,I464-J464))</f>
        <v/>
      </c>
      <c r="L464" s="19" t="n"/>
      <c r="M464" s="18" t="n"/>
      <c r="N464" s="19" t="n"/>
      <c r="O464" s="24">
        <f>IF(OR(C464="",D464=""),"",C464&amp;"|"&amp;D464&amp;"|"&amp;TEXT(I464,"0.00"))</f>
        <v/>
      </c>
      <c r="P464" s="24">
        <f>IF(OR(F464="",K464=0),0,MAX(0,TODAY()-F464))</f>
        <v/>
      </c>
      <c r="Q464" s="24">
        <f>IF(OR(L464="Paid",L464="Cancelled",F464=""),"",IF(F464&lt;TODAY(),"OVERDUE",IF(F464&lt;=TODAY()+'Setup &amp; Lists'!$M$7,"DUE SOON","")))</f>
        <v/>
      </c>
      <c r="R464" s="18" t="n"/>
    </row>
    <row r="465">
      <c r="A465" s="19" t="n"/>
      <c r="B465" s="18" t="n"/>
      <c r="C465" s="19" t="n"/>
      <c r="D465" s="19" t="n"/>
      <c r="E465" s="20" t="n"/>
      <c r="F465" s="20" t="n"/>
      <c r="G465" s="19" t="n"/>
      <c r="H465" s="19" t="n"/>
      <c r="I465" s="21" t="n"/>
      <c r="J465" s="21" t="n"/>
      <c r="K465" s="22">
        <f>IF(I465="","",MAX(0,I465-J465))</f>
        <v/>
      </c>
      <c r="L465" s="19" t="n"/>
      <c r="M465" s="18" t="n"/>
      <c r="N465" s="19" t="n"/>
      <c r="O465" s="24">
        <f>IF(OR(C465="",D465=""),"",C465&amp;"|"&amp;D465&amp;"|"&amp;TEXT(I465,"0.00"))</f>
        <v/>
      </c>
      <c r="P465" s="24">
        <f>IF(OR(F465="",K465=0),0,MAX(0,TODAY()-F465))</f>
        <v/>
      </c>
      <c r="Q465" s="24">
        <f>IF(OR(L465="Paid",L465="Cancelled",F465=""),"",IF(F465&lt;TODAY(),"OVERDUE",IF(F465&lt;=TODAY()+'Setup &amp; Lists'!$M$7,"DUE SOON","")))</f>
        <v/>
      </c>
      <c r="R465" s="18" t="n"/>
    </row>
    <row r="466">
      <c r="A466" s="19" t="n"/>
      <c r="B466" s="18" t="n"/>
      <c r="C466" s="19" t="n"/>
      <c r="D466" s="19" t="n"/>
      <c r="E466" s="20" t="n"/>
      <c r="F466" s="20" t="n"/>
      <c r="G466" s="19" t="n"/>
      <c r="H466" s="19" t="n"/>
      <c r="I466" s="21" t="n"/>
      <c r="J466" s="21" t="n"/>
      <c r="K466" s="22">
        <f>IF(I466="","",MAX(0,I466-J466))</f>
        <v/>
      </c>
      <c r="L466" s="19" t="n"/>
      <c r="M466" s="18" t="n"/>
      <c r="N466" s="19" t="n"/>
      <c r="O466" s="24">
        <f>IF(OR(C466="",D466=""),"",C466&amp;"|"&amp;D466&amp;"|"&amp;TEXT(I466,"0.00"))</f>
        <v/>
      </c>
      <c r="P466" s="24">
        <f>IF(OR(F466="",K466=0),0,MAX(0,TODAY()-F466))</f>
        <v/>
      </c>
      <c r="Q466" s="24">
        <f>IF(OR(L466="Paid",L466="Cancelled",F466=""),"",IF(F466&lt;TODAY(),"OVERDUE",IF(F466&lt;=TODAY()+'Setup &amp; Lists'!$M$7,"DUE SOON","")))</f>
        <v/>
      </c>
      <c r="R466" s="18" t="n"/>
    </row>
    <row r="467">
      <c r="A467" s="19" t="n"/>
      <c r="B467" s="18" t="n"/>
      <c r="C467" s="19" t="n"/>
      <c r="D467" s="19" t="n"/>
      <c r="E467" s="20" t="n"/>
      <c r="F467" s="20" t="n"/>
      <c r="G467" s="19" t="n"/>
      <c r="H467" s="19" t="n"/>
      <c r="I467" s="21" t="n"/>
      <c r="J467" s="21" t="n"/>
      <c r="K467" s="22">
        <f>IF(I467="","",MAX(0,I467-J467))</f>
        <v/>
      </c>
      <c r="L467" s="19" t="n"/>
      <c r="M467" s="18" t="n"/>
      <c r="N467" s="19" t="n"/>
      <c r="O467" s="24">
        <f>IF(OR(C467="",D467=""),"",C467&amp;"|"&amp;D467&amp;"|"&amp;TEXT(I467,"0.00"))</f>
        <v/>
      </c>
      <c r="P467" s="24">
        <f>IF(OR(F467="",K467=0),0,MAX(0,TODAY()-F467))</f>
        <v/>
      </c>
      <c r="Q467" s="24">
        <f>IF(OR(L467="Paid",L467="Cancelled",F467=""),"",IF(F467&lt;TODAY(),"OVERDUE",IF(F467&lt;=TODAY()+'Setup &amp; Lists'!$M$7,"DUE SOON","")))</f>
        <v/>
      </c>
      <c r="R467" s="18" t="n"/>
    </row>
    <row r="468">
      <c r="A468" s="19" t="n"/>
      <c r="B468" s="18" t="n"/>
      <c r="C468" s="19" t="n"/>
      <c r="D468" s="19" t="n"/>
      <c r="E468" s="20" t="n"/>
      <c r="F468" s="20" t="n"/>
      <c r="G468" s="19" t="n"/>
      <c r="H468" s="19" t="n"/>
      <c r="I468" s="21" t="n"/>
      <c r="J468" s="21" t="n"/>
      <c r="K468" s="22">
        <f>IF(I468="","",MAX(0,I468-J468))</f>
        <v/>
      </c>
      <c r="L468" s="19" t="n"/>
      <c r="M468" s="18" t="n"/>
      <c r="N468" s="19" t="n"/>
      <c r="O468" s="24">
        <f>IF(OR(C468="",D468=""),"",C468&amp;"|"&amp;D468&amp;"|"&amp;TEXT(I468,"0.00"))</f>
        <v/>
      </c>
      <c r="P468" s="24">
        <f>IF(OR(F468="",K468=0),0,MAX(0,TODAY()-F468))</f>
        <v/>
      </c>
      <c r="Q468" s="24">
        <f>IF(OR(L468="Paid",L468="Cancelled",F468=""),"",IF(F468&lt;TODAY(),"OVERDUE",IF(F468&lt;=TODAY()+'Setup &amp; Lists'!$M$7,"DUE SOON","")))</f>
        <v/>
      </c>
      <c r="R468" s="18" t="n"/>
    </row>
    <row r="469">
      <c r="A469" s="19" t="n"/>
      <c r="B469" s="18" t="n"/>
      <c r="C469" s="19" t="n"/>
      <c r="D469" s="19" t="n"/>
      <c r="E469" s="20" t="n"/>
      <c r="F469" s="20" t="n"/>
      <c r="G469" s="19" t="n"/>
      <c r="H469" s="19" t="n"/>
      <c r="I469" s="21" t="n"/>
      <c r="J469" s="21" t="n"/>
      <c r="K469" s="22">
        <f>IF(I469="","",MAX(0,I469-J469))</f>
        <v/>
      </c>
      <c r="L469" s="19" t="n"/>
      <c r="M469" s="18" t="n"/>
      <c r="N469" s="19" t="n"/>
      <c r="O469" s="24">
        <f>IF(OR(C469="",D469=""),"",C469&amp;"|"&amp;D469&amp;"|"&amp;TEXT(I469,"0.00"))</f>
        <v/>
      </c>
      <c r="P469" s="24">
        <f>IF(OR(F469="",K469=0),0,MAX(0,TODAY()-F469))</f>
        <v/>
      </c>
      <c r="Q469" s="24">
        <f>IF(OR(L469="Paid",L469="Cancelled",F469=""),"",IF(F469&lt;TODAY(),"OVERDUE",IF(F469&lt;=TODAY()+'Setup &amp; Lists'!$M$7,"DUE SOON","")))</f>
        <v/>
      </c>
      <c r="R469" s="18" t="n"/>
    </row>
    <row r="470">
      <c r="A470" s="19" t="n"/>
      <c r="B470" s="18" t="n"/>
      <c r="C470" s="19" t="n"/>
      <c r="D470" s="19" t="n"/>
      <c r="E470" s="20" t="n"/>
      <c r="F470" s="20" t="n"/>
      <c r="G470" s="19" t="n"/>
      <c r="H470" s="19" t="n"/>
      <c r="I470" s="21" t="n"/>
      <c r="J470" s="21" t="n"/>
      <c r="K470" s="22">
        <f>IF(I470="","",MAX(0,I470-J470))</f>
        <v/>
      </c>
      <c r="L470" s="19" t="n"/>
      <c r="M470" s="18" t="n"/>
      <c r="N470" s="19" t="n"/>
      <c r="O470" s="24">
        <f>IF(OR(C470="",D470=""),"",C470&amp;"|"&amp;D470&amp;"|"&amp;TEXT(I470,"0.00"))</f>
        <v/>
      </c>
      <c r="P470" s="24">
        <f>IF(OR(F470="",K470=0),0,MAX(0,TODAY()-F470))</f>
        <v/>
      </c>
      <c r="Q470" s="24">
        <f>IF(OR(L470="Paid",L470="Cancelled",F470=""),"",IF(F470&lt;TODAY(),"OVERDUE",IF(F470&lt;=TODAY()+'Setup &amp; Lists'!$M$7,"DUE SOON","")))</f>
        <v/>
      </c>
      <c r="R470" s="18" t="n"/>
    </row>
    <row r="471">
      <c r="A471" s="19" t="n"/>
      <c r="B471" s="18" t="n"/>
      <c r="C471" s="19" t="n"/>
      <c r="D471" s="19" t="n"/>
      <c r="E471" s="20" t="n"/>
      <c r="F471" s="20" t="n"/>
      <c r="G471" s="19" t="n"/>
      <c r="H471" s="19" t="n"/>
      <c r="I471" s="21" t="n"/>
      <c r="J471" s="21" t="n"/>
      <c r="K471" s="22">
        <f>IF(I471="","",MAX(0,I471-J471))</f>
        <v/>
      </c>
      <c r="L471" s="19" t="n"/>
      <c r="M471" s="18" t="n"/>
      <c r="N471" s="19" t="n"/>
      <c r="O471" s="24">
        <f>IF(OR(C471="",D471=""),"",C471&amp;"|"&amp;D471&amp;"|"&amp;TEXT(I471,"0.00"))</f>
        <v/>
      </c>
      <c r="P471" s="24">
        <f>IF(OR(F471="",K471=0),0,MAX(0,TODAY()-F471))</f>
        <v/>
      </c>
      <c r="Q471" s="24">
        <f>IF(OR(L471="Paid",L471="Cancelled",F471=""),"",IF(F471&lt;TODAY(),"OVERDUE",IF(F471&lt;=TODAY()+'Setup &amp; Lists'!$M$7,"DUE SOON","")))</f>
        <v/>
      </c>
      <c r="R471" s="18" t="n"/>
    </row>
    <row r="472">
      <c r="A472" s="19" t="n"/>
      <c r="B472" s="18" t="n"/>
      <c r="C472" s="19" t="n"/>
      <c r="D472" s="19" t="n"/>
      <c r="E472" s="20" t="n"/>
      <c r="F472" s="20" t="n"/>
      <c r="G472" s="19" t="n"/>
      <c r="H472" s="19" t="n"/>
      <c r="I472" s="21" t="n"/>
      <c r="J472" s="21" t="n"/>
      <c r="K472" s="22">
        <f>IF(I472="","",MAX(0,I472-J472))</f>
        <v/>
      </c>
      <c r="L472" s="19" t="n"/>
      <c r="M472" s="18" t="n"/>
      <c r="N472" s="19" t="n"/>
      <c r="O472" s="24">
        <f>IF(OR(C472="",D472=""),"",C472&amp;"|"&amp;D472&amp;"|"&amp;TEXT(I472,"0.00"))</f>
        <v/>
      </c>
      <c r="P472" s="24">
        <f>IF(OR(F472="",K472=0),0,MAX(0,TODAY()-F472))</f>
        <v/>
      </c>
      <c r="Q472" s="24">
        <f>IF(OR(L472="Paid",L472="Cancelled",F472=""),"",IF(F472&lt;TODAY(),"OVERDUE",IF(F472&lt;=TODAY()+'Setup &amp; Lists'!$M$7,"DUE SOON","")))</f>
        <v/>
      </c>
      <c r="R472" s="18" t="n"/>
    </row>
    <row r="473">
      <c r="A473" s="19" t="n"/>
      <c r="B473" s="18" t="n"/>
      <c r="C473" s="19" t="n"/>
      <c r="D473" s="19" t="n"/>
      <c r="E473" s="20" t="n"/>
      <c r="F473" s="20" t="n"/>
      <c r="G473" s="19" t="n"/>
      <c r="H473" s="19" t="n"/>
      <c r="I473" s="21" t="n"/>
      <c r="J473" s="21" t="n"/>
      <c r="K473" s="22">
        <f>IF(I473="","",MAX(0,I473-J473))</f>
        <v/>
      </c>
      <c r="L473" s="19" t="n"/>
      <c r="M473" s="18" t="n"/>
      <c r="N473" s="19" t="n"/>
      <c r="O473" s="24">
        <f>IF(OR(C473="",D473=""),"",C473&amp;"|"&amp;D473&amp;"|"&amp;TEXT(I473,"0.00"))</f>
        <v/>
      </c>
      <c r="P473" s="24">
        <f>IF(OR(F473="",K473=0),0,MAX(0,TODAY()-F473))</f>
        <v/>
      </c>
      <c r="Q473" s="24">
        <f>IF(OR(L473="Paid",L473="Cancelled",F473=""),"",IF(F473&lt;TODAY(),"OVERDUE",IF(F473&lt;=TODAY()+'Setup &amp; Lists'!$M$7,"DUE SOON","")))</f>
        <v/>
      </c>
      <c r="R473" s="18" t="n"/>
    </row>
    <row r="474">
      <c r="A474" s="19" t="n"/>
      <c r="B474" s="18" t="n"/>
      <c r="C474" s="19" t="n"/>
      <c r="D474" s="19" t="n"/>
      <c r="E474" s="20" t="n"/>
      <c r="F474" s="20" t="n"/>
      <c r="G474" s="19" t="n"/>
      <c r="H474" s="19" t="n"/>
      <c r="I474" s="21" t="n"/>
      <c r="J474" s="21" t="n"/>
      <c r="K474" s="22">
        <f>IF(I474="","",MAX(0,I474-J474))</f>
        <v/>
      </c>
      <c r="L474" s="19" t="n"/>
      <c r="M474" s="18" t="n"/>
      <c r="N474" s="19" t="n"/>
      <c r="O474" s="24">
        <f>IF(OR(C474="",D474=""),"",C474&amp;"|"&amp;D474&amp;"|"&amp;TEXT(I474,"0.00"))</f>
        <v/>
      </c>
      <c r="P474" s="24">
        <f>IF(OR(F474="",K474=0),0,MAX(0,TODAY()-F474))</f>
        <v/>
      </c>
      <c r="Q474" s="24">
        <f>IF(OR(L474="Paid",L474="Cancelled",F474=""),"",IF(F474&lt;TODAY(),"OVERDUE",IF(F474&lt;=TODAY()+'Setup &amp; Lists'!$M$7,"DUE SOON","")))</f>
        <v/>
      </c>
      <c r="R474" s="18" t="n"/>
    </row>
    <row r="475">
      <c r="A475" s="19" t="n"/>
      <c r="B475" s="18" t="n"/>
      <c r="C475" s="19" t="n"/>
      <c r="D475" s="19" t="n"/>
      <c r="E475" s="20" t="n"/>
      <c r="F475" s="20" t="n"/>
      <c r="G475" s="19" t="n"/>
      <c r="H475" s="19" t="n"/>
      <c r="I475" s="21" t="n"/>
      <c r="J475" s="21" t="n"/>
      <c r="K475" s="22">
        <f>IF(I475="","",MAX(0,I475-J475))</f>
        <v/>
      </c>
      <c r="L475" s="19" t="n"/>
      <c r="M475" s="18" t="n"/>
      <c r="N475" s="19" t="n"/>
      <c r="O475" s="24">
        <f>IF(OR(C475="",D475=""),"",C475&amp;"|"&amp;D475&amp;"|"&amp;TEXT(I475,"0.00"))</f>
        <v/>
      </c>
      <c r="P475" s="24">
        <f>IF(OR(F475="",K475=0),0,MAX(0,TODAY()-F475))</f>
        <v/>
      </c>
      <c r="Q475" s="24">
        <f>IF(OR(L475="Paid",L475="Cancelled",F475=""),"",IF(F475&lt;TODAY(),"OVERDUE",IF(F475&lt;=TODAY()+'Setup &amp; Lists'!$M$7,"DUE SOON","")))</f>
        <v/>
      </c>
      <c r="R475" s="18" t="n"/>
    </row>
    <row r="476">
      <c r="A476" s="19" t="n"/>
      <c r="B476" s="18" t="n"/>
      <c r="C476" s="19" t="n"/>
      <c r="D476" s="19" t="n"/>
      <c r="E476" s="20" t="n"/>
      <c r="F476" s="20" t="n"/>
      <c r="G476" s="19" t="n"/>
      <c r="H476" s="19" t="n"/>
      <c r="I476" s="21" t="n"/>
      <c r="J476" s="21" t="n"/>
      <c r="K476" s="22">
        <f>IF(I476="","",MAX(0,I476-J476))</f>
        <v/>
      </c>
      <c r="L476" s="19" t="n"/>
      <c r="M476" s="18" t="n"/>
      <c r="N476" s="19" t="n"/>
      <c r="O476" s="24">
        <f>IF(OR(C476="",D476=""),"",C476&amp;"|"&amp;D476&amp;"|"&amp;TEXT(I476,"0.00"))</f>
        <v/>
      </c>
      <c r="P476" s="24">
        <f>IF(OR(F476="",K476=0),0,MAX(0,TODAY()-F476))</f>
        <v/>
      </c>
      <c r="Q476" s="24">
        <f>IF(OR(L476="Paid",L476="Cancelled",F476=""),"",IF(F476&lt;TODAY(),"OVERDUE",IF(F476&lt;=TODAY()+'Setup &amp; Lists'!$M$7,"DUE SOON","")))</f>
        <v/>
      </c>
      <c r="R476" s="18" t="n"/>
    </row>
    <row r="477">
      <c r="A477" s="19" t="n"/>
      <c r="B477" s="18" t="n"/>
      <c r="C477" s="19" t="n"/>
      <c r="D477" s="19" t="n"/>
      <c r="E477" s="20" t="n"/>
      <c r="F477" s="20" t="n"/>
      <c r="G477" s="19" t="n"/>
      <c r="H477" s="19" t="n"/>
      <c r="I477" s="21" t="n"/>
      <c r="J477" s="21" t="n"/>
      <c r="K477" s="22">
        <f>IF(I477="","",MAX(0,I477-J477))</f>
        <v/>
      </c>
      <c r="L477" s="19" t="n"/>
      <c r="M477" s="18" t="n"/>
      <c r="N477" s="19" t="n"/>
      <c r="O477" s="24">
        <f>IF(OR(C477="",D477=""),"",C477&amp;"|"&amp;D477&amp;"|"&amp;TEXT(I477,"0.00"))</f>
        <v/>
      </c>
      <c r="P477" s="24">
        <f>IF(OR(F477="",K477=0),0,MAX(0,TODAY()-F477))</f>
        <v/>
      </c>
      <c r="Q477" s="24">
        <f>IF(OR(L477="Paid",L477="Cancelled",F477=""),"",IF(F477&lt;TODAY(),"OVERDUE",IF(F477&lt;=TODAY()+'Setup &amp; Lists'!$M$7,"DUE SOON","")))</f>
        <v/>
      </c>
      <c r="R477" s="18" t="n"/>
    </row>
    <row r="478">
      <c r="A478" s="19" t="n"/>
      <c r="B478" s="18" t="n"/>
      <c r="C478" s="19" t="n"/>
      <c r="D478" s="19" t="n"/>
      <c r="E478" s="20" t="n"/>
      <c r="F478" s="20" t="n"/>
      <c r="G478" s="19" t="n"/>
      <c r="H478" s="19" t="n"/>
      <c r="I478" s="21" t="n"/>
      <c r="J478" s="21" t="n"/>
      <c r="K478" s="22">
        <f>IF(I478="","",MAX(0,I478-J478))</f>
        <v/>
      </c>
      <c r="L478" s="19" t="n"/>
      <c r="M478" s="18" t="n"/>
      <c r="N478" s="19" t="n"/>
      <c r="O478" s="24">
        <f>IF(OR(C478="",D478=""),"",C478&amp;"|"&amp;D478&amp;"|"&amp;TEXT(I478,"0.00"))</f>
        <v/>
      </c>
      <c r="P478" s="24">
        <f>IF(OR(F478="",K478=0),0,MAX(0,TODAY()-F478))</f>
        <v/>
      </c>
      <c r="Q478" s="24">
        <f>IF(OR(L478="Paid",L478="Cancelled",F478=""),"",IF(F478&lt;TODAY(),"OVERDUE",IF(F478&lt;=TODAY()+'Setup &amp; Lists'!$M$7,"DUE SOON","")))</f>
        <v/>
      </c>
      <c r="R478" s="18" t="n"/>
    </row>
    <row r="479">
      <c r="A479" s="19" t="n"/>
      <c r="B479" s="18" t="n"/>
      <c r="C479" s="19" t="n"/>
      <c r="D479" s="19" t="n"/>
      <c r="E479" s="20" t="n"/>
      <c r="F479" s="20" t="n"/>
      <c r="G479" s="19" t="n"/>
      <c r="H479" s="19" t="n"/>
      <c r="I479" s="21" t="n"/>
      <c r="J479" s="21" t="n"/>
      <c r="K479" s="22">
        <f>IF(I479="","",MAX(0,I479-J479))</f>
        <v/>
      </c>
      <c r="L479" s="19" t="n"/>
      <c r="M479" s="18" t="n"/>
      <c r="N479" s="19" t="n"/>
      <c r="O479" s="24">
        <f>IF(OR(C479="",D479=""),"",C479&amp;"|"&amp;D479&amp;"|"&amp;TEXT(I479,"0.00"))</f>
        <v/>
      </c>
      <c r="P479" s="24">
        <f>IF(OR(F479="",K479=0),0,MAX(0,TODAY()-F479))</f>
        <v/>
      </c>
      <c r="Q479" s="24">
        <f>IF(OR(L479="Paid",L479="Cancelled",F479=""),"",IF(F479&lt;TODAY(),"OVERDUE",IF(F479&lt;=TODAY()+'Setup &amp; Lists'!$M$7,"DUE SOON","")))</f>
        <v/>
      </c>
      <c r="R479" s="18" t="n"/>
    </row>
    <row r="480">
      <c r="A480" s="19" t="n"/>
      <c r="B480" s="18" t="n"/>
      <c r="C480" s="19" t="n"/>
      <c r="D480" s="19" t="n"/>
      <c r="E480" s="20" t="n"/>
      <c r="F480" s="20" t="n"/>
      <c r="G480" s="19" t="n"/>
      <c r="H480" s="19" t="n"/>
      <c r="I480" s="21" t="n"/>
      <c r="J480" s="21" t="n"/>
      <c r="K480" s="22">
        <f>IF(I480="","",MAX(0,I480-J480))</f>
        <v/>
      </c>
      <c r="L480" s="19" t="n"/>
      <c r="M480" s="18" t="n"/>
      <c r="N480" s="19" t="n"/>
      <c r="O480" s="24">
        <f>IF(OR(C480="",D480=""),"",C480&amp;"|"&amp;D480&amp;"|"&amp;TEXT(I480,"0.00"))</f>
        <v/>
      </c>
      <c r="P480" s="24">
        <f>IF(OR(F480="",K480=0),0,MAX(0,TODAY()-F480))</f>
        <v/>
      </c>
      <c r="Q480" s="24">
        <f>IF(OR(L480="Paid",L480="Cancelled",F480=""),"",IF(F480&lt;TODAY(),"OVERDUE",IF(F480&lt;=TODAY()+'Setup &amp; Lists'!$M$7,"DUE SOON","")))</f>
        <v/>
      </c>
      <c r="R480" s="18" t="n"/>
    </row>
    <row r="481">
      <c r="A481" s="19" t="n"/>
      <c r="B481" s="18" t="n"/>
      <c r="C481" s="19" t="n"/>
      <c r="D481" s="19" t="n"/>
      <c r="E481" s="20" t="n"/>
      <c r="F481" s="20" t="n"/>
      <c r="G481" s="19" t="n"/>
      <c r="H481" s="19" t="n"/>
      <c r="I481" s="21" t="n"/>
      <c r="J481" s="21" t="n"/>
      <c r="K481" s="22">
        <f>IF(I481="","",MAX(0,I481-J481))</f>
        <v/>
      </c>
      <c r="L481" s="19" t="n"/>
      <c r="M481" s="18" t="n"/>
      <c r="N481" s="19" t="n"/>
      <c r="O481" s="24">
        <f>IF(OR(C481="",D481=""),"",C481&amp;"|"&amp;D481&amp;"|"&amp;TEXT(I481,"0.00"))</f>
        <v/>
      </c>
      <c r="P481" s="24">
        <f>IF(OR(F481="",K481=0),0,MAX(0,TODAY()-F481))</f>
        <v/>
      </c>
      <c r="Q481" s="24">
        <f>IF(OR(L481="Paid",L481="Cancelled",F481=""),"",IF(F481&lt;TODAY(),"OVERDUE",IF(F481&lt;=TODAY()+'Setup &amp; Lists'!$M$7,"DUE SOON","")))</f>
        <v/>
      </c>
      <c r="R481" s="18" t="n"/>
    </row>
    <row r="482">
      <c r="A482" s="19" t="n"/>
      <c r="B482" s="18" t="n"/>
      <c r="C482" s="19" t="n"/>
      <c r="D482" s="19" t="n"/>
      <c r="E482" s="20" t="n"/>
      <c r="F482" s="20" t="n"/>
      <c r="G482" s="19" t="n"/>
      <c r="H482" s="19" t="n"/>
      <c r="I482" s="21" t="n"/>
      <c r="J482" s="21" t="n"/>
      <c r="K482" s="22">
        <f>IF(I482="","",MAX(0,I482-J482))</f>
        <v/>
      </c>
      <c r="L482" s="19" t="n"/>
      <c r="M482" s="18" t="n"/>
      <c r="N482" s="19" t="n"/>
      <c r="O482" s="24">
        <f>IF(OR(C482="",D482=""),"",C482&amp;"|"&amp;D482&amp;"|"&amp;TEXT(I482,"0.00"))</f>
        <v/>
      </c>
      <c r="P482" s="24">
        <f>IF(OR(F482="",K482=0),0,MAX(0,TODAY()-F482))</f>
        <v/>
      </c>
      <c r="Q482" s="24">
        <f>IF(OR(L482="Paid",L482="Cancelled",F482=""),"",IF(F482&lt;TODAY(),"OVERDUE",IF(F482&lt;=TODAY()+'Setup &amp; Lists'!$M$7,"DUE SOON","")))</f>
        <v/>
      </c>
      <c r="R482" s="18" t="n"/>
    </row>
    <row r="483">
      <c r="A483" s="19" t="n"/>
      <c r="B483" s="18" t="n"/>
      <c r="C483" s="19" t="n"/>
      <c r="D483" s="19" t="n"/>
      <c r="E483" s="20" t="n"/>
      <c r="F483" s="20" t="n"/>
      <c r="G483" s="19" t="n"/>
      <c r="H483" s="19" t="n"/>
      <c r="I483" s="21" t="n"/>
      <c r="J483" s="21" t="n"/>
      <c r="K483" s="22">
        <f>IF(I483="","",MAX(0,I483-J483))</f>
        <v/>
      </c>
      <c r="L483" s="19" t="n"/>
      <c r="M483" s="18" t="n"/>
      <c r="N483" s="19" t="n"/>
      <c r="O483" s="24">
        <f>IF(OR(C483="",D483=""),"",C483&amp;"|"&amp;D483&amp;"|"&amp;TEXT(I483,"0.00"))</f>
        <v/>
      </c>
      <c r="P483" s="24">
        <f>IF(OR(F483="",K483=0),0,MAX(0,TODAY()-F483))</f>
        <v/>
      </c>
      <c r="Q483" s="24">
        <f>IF(OR(L483="Paid",L483="Cancelled",F483=""),"",IF(F483&lt;TODAY(),"OVERDUE",IF(F483&lt;=TODAY()+'Setup &amp; Lists'!$M$7,"DUE SOON","")))</f>
        <v/>
      </c>
      <c r="R483" s="18" t="n"/>
    </row>
    <row r="484">
      <c r="A484" s="19" t="n"/>
      <c r="B484" s="18" t="n"/>
      <c r="C484" s="19" t="n"/>
      <c r="D484" s="19" t="n"/>
      <c r="E484" s="20" t="n"/>
      <c r="F484" s="20" t="n"/>
      <c r="G484" s="19" t="n"/>
      <c r="H484" s="19" t="n"/>
      <c r="I484" s="21" t="n"/>
      <c r="J484" s="21" t="n"/>
      <c r="K484" s="22">
        <f>IF(I484="","",MAX(0,I484-J484))</f>
        <v/>
      </c>
      <c r="L484" s="19" t="n"/>
      <c r="M484" s="18" t="n"/>
      <c r="N484" s="19" t="n"/>
      <c r="O484" s="24">
        <f>IF(OR(C484="",D484=""),"",C484&amp;"|"&amp;D484&amp;"|"&amp;TEXT(I484,"0.00"))</f>
        <v/>
      </c>
      <c r="P484" s="24">
        <f>IF(OR(F484="",K484=0),0,MAX(0,TODAY()-F484))</f>
        <v/>
      </c>
      <c r="Q484" s="24">
        <f>IF(OR(L484="Paid",L484="Cancelled",F484=""),"",IF(F484&lt;TODAY(),"OVERDUE",IF(F484&lt;=TODAY()+'Setup &amp; Lists'!$M$7,"DUE SOON","")))</f>
        <v/>
      </c>
      <c r="R484" s="18" t="n"/>
    </row>
    <row r="485">
      <c r="A485" s="19" t="n"/>
      <c r="B485" s="18" t="n"/>
      <c r="C485" s="19" t="n"/>
      <c r="D485" s="19" t="n"/>
      <c r="E485" s="20" t="n"/>
      <c r="F485" s="20" t="n"/>
      <c r="G485" s="19" t="n"/>
      <c r="H485" s="19" t="n"/>
      <c r="I485" s="21" t="n"/>
      <c r="J485" s="21" t="n"/>
      <c r="K485" s="22">
        <f>IF(I485="","",MAX(0,I485-J485))</f>
        <v/>
      </c>
      <c r="L485" s="19" t="n"/>
      <c r="M485" s="18" t="n"/>
      <c r="N485" s="19" t="n"/>
      <c r="O485" s="24">
        <f>IF(OR(C485="",D485=""),"",C485&amp;"|"&amp;D485&amp;"|"&amp;TEXT(I485,"0.00"))</f>
        <v/>
      </c>
      <c r="P485" s="24">
        <f>IF(OR(F485="",K485=0),0,MAX(0,TODAY()-F485))</f>
        <v/>
      </c>
      <c r="Q485" s="24">
        <f>IF(OR(L485="Paid",L485="Cancelled",F485=""),"",IF(F485&lt;TODAY(),"OVERDUE",IF(F485&lt;=TODAY()+'Setup &amp; Lists'!$M$7,"DUE SOON","")))</f>
        <v/>
      </c>
      <c r="R485" s="18" t="n"/>
    </row>
    <row r="486">
      <c r="A486" s="19" t="n"/>
      <c r="B486" s="18" t="n"/>
      <c r="C486" s="19" t="n"/>
      <c r="D486" s="19" t="n"/>
      <c r="E486" s="20" t="n"/>
      <c r="F486" s="20" t="n"/>
      <c r="G486" s="19" t="n"/>
      <c r="H486" s="19" t="n"/>
      <c r="I486" s="21" t="n"/>
      <c r="J486" s="21" t="n"/>
      <c r="K486" s="22">
        <f>IF(I486="","",MAX(0,I486-J486))</f>
        <v/>
      </c>
      <c r="L486" s="19" t="n"/>
      <c r="M486" s="18" t="n"/>
      <c r="N486" s="19" t="n"/>
      <c r="O486" s="24">
        <f>IF(OR(C486="",D486=""),"",C486&amp;"|"&amp;D486&amp;"|"&amp;TEXT(I486,"0.00"))</f>
        <v/>
      </c>
      <c r="P486" s="24">
        <f>IF(OR(F486="",K486=0),0,MAX(0,TODAY()-F486))</f>
        <v/>
      </c>
      <c r="Q486" s="24">
        <f>IF(OR(L486="Paid",L486="Cancelled",F486=""),"",IF(F486&lt;TODAY(),"OVERDUE",IF(F486&lt;=TODAY()+'Setup &amp; Lists'!$M$7,"DUE SOON","")))</f>
        <v/>
      </c>
      <c r="R486" s="18" t="n"/>
    </row>
    <row r="487">
      <c r="A487" s="19" t="n"/>
      <c r="B487" s="18" t="n"/>
      <c r="C487" s="19" t="n"/>
      <c r="D487" s="19" t="n"/>
      <c r="E487" s="20" t="n"/>
      <c r="F487" s="20" t="n"/>
      <c r="G487" s="19" t="n"/>
      <c r="H487" s="19" t="n"/>
      <c r="I487" s="21" t="n"/>
      <c r="J487" s="21" t="n"/>
      <c r="K487" s="22">
        <f>IF(I487="","",MAX(0,I487-J487))</f>
        <v/>
      </c>
      <c r="L487" s="19" t="n"/>
      <c r="M487" s="18" t="n"/>
      <c r="N487" s="19" t="n"/>
      <c r="O487" s="24">
        <f>IF(OR(C487="",D487=""),"",C487&amp;"|"&amp;D487&amp;"|"&amp;TEXT(I487,"0.00"))</f>
        <v/>
      </c>
      <c r="P487" s="24">
        <f>IF(OR(F487="",K487=0),0,MAX(0,TODAY()-F487))</f>
        <v/>
      </c>
      <c r="Q487" s="24">
        <f>IF(OR(L487="Paid",L487="Cancelled",F487=""),"",IF(F487&lt;TODAY(),"OVERDUE",IF(F487&lt;=TODAY()+'Setup &amp; Lists'!$M$7,"DUE SOON","")))</f>
        <v/>
      </c>
      <c r="R487" s="18" t="n"/>
    </row>
    <row r="488">
      <c r="A488" s="19" t="n"/>
      <c r="B488" s="18" t="n"/>
      <c r="C488" s="19" t="n"/>
      <c r="D488" s="19" t="n"/>
      <c r="E488" s="20" t="n"/>
      <c r="F488" s="20" t="n"/>
      <c r="G488" s="19" t="n"/>
      <c r="H488" s="19" t="n"/>
      <c r="I488" s="21" t="n"/>
      <c r="J488" s="21" t="n"/>
      <c r="K488" s="22">
        <f>IF(I488="","",MAX(0,I488-J488))</f>
        <v/>
      </c>
      <c r="L488" s="19" t="n"/>
      <c r="M488" s="18" t="n"/>
      <c r="N488" s="19" t="n"/>
      <c r="O488" s="24">
        <f>IF(OR(C488="",D488=""),"",C488&amp;"|"&amp;D488&amp;"|"&amp;TEXT(I488,"0.00"))</f>
        <v/>
      </c>
      <c r="P488" s="24">
        <f>IF(OR(F488="",K488=0),0,MAX(0,TODAY()-F488))</f>
        <v/>
      </c>
      <c r="Q488" s="24">
        <f>IF(OR(L488="Paid",L488="Cancelled",F488=""),"",IF(F488&lt;TODAY(),"OVERDUE",IF(F488&lt;=TODAY()+'Setup &amp; Lists'!$M$7,"DUE SOON","")))</f>
        <v/>
      </c>
      <c r="R488" s="18" t="n"/>
    </row>
    <row r="489">
      <c r="A489" s="19" t="n"/>
      <c r="B489" s="18" t="n"/>
      <c r="C489" s="19" t="n"/>
      <c r="D489" s="19" t="n"/>
      <c r="E489" s="20" t="n"/>
      <c r="F489" s="20" t="n"/>
      <c r="G489" s="19" t="n"/>
      <c r="H489" s="19" t="n"/>
      <c r="I489" s="21" t="n"/>
      <c r="J489" s="21" t="n"/>
      <c r="K489" s="22">
        <f>IF(I489="","",MAX(0,I489-J489))</f>
        <v/>
      </c>
      <c r="L489" s="19" t="n"/>
      <c r="M489" s="18" t="n"/>
      <c r="N489" s="19" t="n"/>
      <c r="O489" s="24">
        <f>IF(OR(C489="",D489=""),"",C489&amp;"|"&amp;D489&amp;"|"&amp;TEXT(I489,"0.00"))</f>
        <v/>
      </c>
      <c r="P489" s="24">
        <f>IF(OR(F489="",K489=0),0,MAX(0,TODAY()-F489))</f>
        <v/>
      </c>
      <c r="Q489" s="24">
        <f>IF(OR(L489="Paid",L489="Cancelled",F489=""),"",IF(F489&lt;TODAY(),"OVERDUE",IF(F489&lt;=TODAY()+'Setup &amp; Lists'!$M$7,"DUE SOON","")))</f>
        <v/>
      </c>
      <c r="R489" s="18" t="n"/>
    </row>
    <row r="490">
      <c r="A490" s="19" t="n"/>
      <c r="B490" s="18" t="n"/>
      <c r="C490" s="19" t="n"/>
      <c r="D490" s="19" t="n"/>
      <c r="E490" s="20" t="n"/>
      <c r="F490" s="20" t="n"/>
      <c r="G490" s="19" t="n"/>
      <c r="H490" s="19" t="n"/>
      <c r="I490" s="21" t="n"/>
      <c r="J490" s="21" t="n"/>
      <c r="K490" s="22">
        <f>IF(I490="","",MAX(0,I490-J490))</f>
        <v/>
      </c>
      <c r="L490" s="19" t="n"/>
      <c r="M490" s="18" t="n"/>
      <c r="N490" s="19" t="n"/>
      <c r="O490" s="24">
        <f>IF(OR(C490="",D490=""),"",C490&amp;"|"&amp;D490&amp;"|"&amp;TEXT(I490,"0.00"))</f>
        <v/>
      </c>
      <c r="P490" s="24">
        <f>IF(OR(F490="",K490=0),0,MAX(0,TODAY()-F490))</f>
        <v/>
      </c>
      <c r="Q490" s="24">
        <f>IF(OR(L490="Paid",L490="Cancelled",F490=""),"",IF(F490&lt;TODAY(),"OVERDUE",IF(F490&lt;=TODAY()+'Setup &amp; Lists'!$M$7,"DUE SOON","")))</f>
        <v/>
      </c>
      <c r="R490" s="18" t="n"/>
    </row>
    <row r="491">
      <c r="A491" s="19" t="n"/>
      <c r="B491" s="18" t="n"/>
      <c r="C491" s="19" t="n"/>
      <c r="D491" s="19" t="n"/>
      <c r="E491" s="20" t="n"/>
      <c r="F491" s="20" t="n"/>
      <c r="G491" s="19" t="n"/>
      <c r="H491" s="19" t="n"/>
      <c r="I491" s="21" t="n"/>
      <c r="J491" s="21" t="n"/>
      <c r="K491" s="22">
        <f>IF(I491="","",MAX(0,I491-J491))</f>
        <v/>
      </c>
      <c r="L491" s="19" t="n"/>
      <c r="M491" s="18" t="n"/>
      <c r="N491" s="19" t="n"/>
      <c r="O491" s="24">
        <f>IF(OR(C491="",D491=""),"",C491&amp;"|"&amp;D491&amp;"|"&amp;TEXT(I491,"0.00"))</f>
        <v/>
      </c>
      <c r="P491" s="24">
        <f>IF(OR(F491="",K491=0),0,MAX(0,TODAY()-F491))</f>
        <v/>
      </c>
      <c r="Q491" s="24">
        <f>IF(OR(L491="Paid",L491="Cancelled",F491=""),"",IF(F491&lt;TODAY(),"OVERDUE",IF(F491&lt;=TODAY()+'Setup &amp; Lists'!$M$7,"DUE SOON","")))</f>
        <v/>
      </c>
      <c r="R491" s="18" t="n"/>
    </row>
    <row r="492">
      <c r="A492" s="19" t="n"/>
      <c r="B492" s="18" t="n"/>
      <c r="C492" s="19" t="n"/>
      <c r="D492" s="19" t="n"/>
      <c r="E492" s="20" t="n"/>
      <c r="F492" s="20" t="n"/>
      <c r="G492" s="19" t="n"/>
      <c r="H492" s="19" t="n"/>
      <c r="I492" s="21" t="n"/>
      <c r="J492" s="21" t="n"/>
      <c r="K492" s="22">
        <f>IF(I492="","",MAX(0,I492-J492))</f>
        <v/>
      </c>
      <c r="L492" s="19" t="n"/>
      <c r="M492" s="18" t="n"/>
      <c r="N492" s="19" t="n"/>
      <c r="O492" s="24">
        <f>IF(OR(C492="",D492=""),"",C492&amp;"|"&amp;D492&amp;"|"&amp;TEXT(I492,"0.00"))</f>
        <v/>
      </c>
      <c r="P492" s="24">
        <f>IF(OR(F492="",K492=0),0,MAX(0,TODAY()-F492))</f>
        <v/>
      </c>
      <c r="Q492" s="24">
        <f>IF(OR(L492="Paid",L492="Cancelled",F492=""),"",IF(F492&lt;TODAY(),"OVERDUE",IF(F492&lt;=TODAY()+'Setup &amp; Lists'!$M$7,"DUE SOON","")))</f>
        <v/>
      </c>
      <c r="R492" s="18" t="n"/>
    </row>
    <row r="493">
      <c r="A493" s="19" t="n"/>
      <c r="B493" s="18" t="n"/>
      <c r="C493" s="19" t="n"/>
      <c r="D493" s="19" t="n"/>
      <c r="E493" s="20" t="n"/>
      <c r="F493" s="20" t="n"/>
      <c r="G493" s="19" t="n"/>
      <c r="H493" s="19" t="n"/>
      <c r="I493" s="21" t="n"/>
      <c r="J493" s="21" t="n"/>
      <c r="K493" s="22">
        <f>IF(I493="","",MAX(0,I493-J493))</f>
        <v/>
      </c>
      <c r="L493" s="19" t="n"/>
      <c r="M493" s="18" t="n"/>
      <c r="N493" s="19" t="n"/>
      <c r="O493" s="24">
        <f>IF(OR(C493="",D493=""),"",C493&amp;"|"&amp;D493&amp;"|"&amp;TEXT(I493,"0.00"))</f>
        <v/>
      </c>
      <c r="P493" s="24">
        <f>IF(OR(F493="",K493=0),0,MAX(0,TODAY()-F493))</f>
        <v/>
      </c>
      <c r="Q493" s="24">
        <f>IF(OR(L493="Paid",L493="Cancelled",F493=""),"",IF(F493&lt;TODAY(),"OVERDUE",IF(F493&lt;=TODAY()+'Setup &amp; Lists'!$M$7,"DUE SOON","")))</f>
        <v/>
      </c>
      <c r="R493" s="18" t="n"/>
    </row>
    <row r="494">
      <c r="A494" s="19" t="n"/>
      <c r="B494" s="18" t="n"/>
      <c r="C494" s="19" t="n"/>
      <c r="D494" s="19" t="n"/>
      <c r="E494" s="20" t="n"/>
      <c r="F494" s="20" t="n"/>
      <c r="G494" s="19" t="n"/>
      <c r="H494" s="19" t="n"/>
      <c r="I494" s="21" t="n"/>
      <c r="J494" s="21" t="n"/>
      <c r="K494" s="22">
        <f>IF(I494="","",MAX(0,I494-J494))</f>
        <v/>
      </c>
      <c r="L494" s="19" t="n"/>
      <c r="M494" s="18" t="n"/>
      <c r="N494" s="19" t="n"/>
      <c r="O494" s="24">
        <f>IF(OR(C494="",D494=""),"",C494&amp;"|"&amp;D494&amp;"|"&amp;TEXT(I494,"0.00"))</f>
        <v/>
      </c>
      <c r="P494" s="24">
        <f>IF(OR(F494="",K494=0),0,MAX(0,TODAY()-F494))</f>
        <v/>
      </c>
      <c r="Q494" s="24">
        <f>IF(OR(L494="Paid",L494="Cancelled",F494=""),"",IF(F494&lt;TODAY(),"OVERDUE",IF(F494&lt;=TODAY()+'Setup &amp; Lists'!$M$7,"DUE SOON","")))</f>
        <v/>
      </c>
      <c r="R494" s="18" t="n"/>
    </row>
    <row r="495">
      <c r="A495" s="19" t="n"/>
      <c r="B495" s="18" t="n"/>
      <c r="C495" s="19" t="n"/>
      <c r="D495" s="19" t="n"/>
      <c r="E495" s="20" t="n"/>
      <c r="F495" s="20" t="n"/>
      <c r="G495" s="19" t="n"/>
      <c r="H495" s="19" t="n"/>
      <c r="I495" s="21" t="n"/>
      <c r="J495" s="21" t="n"/>
      <c r="K495" s="22">
        <f>IF(I495="","",MAX(0,I495-J495))</f>
        <v/>
      </c>
      <c r="L495" s="19" t="n"/>
      <c r="M495" s="18" t="n"/>
      <c r="N495" s="19" t="n"/>
      <c r="O495" s="24">
        <f>IF(OR(C495="",D495=""),"",C495&amp;"|"&amp;D495&amp;"|"&amp;TEXT(I495,"0.00"))</f>
        <v/>
      </c>
      <c r="P495" s="24">
        <f>IF(OR(F495="",K495=0),0,MAX(0,TODAY()-F495))</f>
        <v/>
      </c>
      <c r="Q495" s="24">
        <f>IF(OR(L495="Paid",L495="Cancelled",F495=""),"",IF(F495&lt;TODAY(),"OVERDUE",IF(F495&lt;=TODAY()+'Setup &amp; Lists'!$M$7,"DUE SOON","")))</f>
        <v/>
      </c>
      <c r="R495" s="18" t="n"/>
    </row>
    <row r="496">
      <c r="A496" s="19" t="n"/>
      <c r="B496" s="18" t="n"/>
      <c r="C496" s="19" t="n"/>
      <c r="D496" s="19" t="n"/>
      <c r="E496" s="20" t="n"/>
      <c r="F496" s="20" t="n"/>
      <c r="G496" s="19" t="n"/>
      <c r="H496" s="19" t="n"/>
      <c r="I496" s="21" t="n"/>
      <c r="J496" s="21" t="n"/>
      <c r="K496" s="22">
        <f>IF(I496="","",MAX(0,I496-J496))</f>
        <v/>
      </c>
      <c r="L496" s="19" t="n"/>
      <c r="M496" s="18" t="n"/>
      <c r="N496" s="19" t="n"/>
      <c r="O496" s="24">
        <f>IF(OR(C496="",D496=""),"",C496&amp;"|"&amp;D496&amp;"|"&amp;TEXT(I496,"0.00"))</f>
        <v/>
      </c>
      <c r="P496" s="24">
        <f>IF(OR(F496="",K496=0),0,MAX(0,TODAY()-F496))</f>
        <v/>
      </c>
      <c r="Q496" s="24">
        <f>IF(OR(L496="Paid",L496="Cancelled",F496=""),"",IF(F496&lt;TODAY(),"OVERDUE",IF(F496&lt;=TODAY()+'Setup &amp; Lists'!$M$7,"DUE SOON","")))</f>
        <v/>
      </c>
      <c r="R496" s="18" t="n"/>
    </row>
    <row r="497">
      <c r="A497" s="19" t="n"/>
      <c r="B497" s="18" t="n"/>
      <c r="C497" s="19" t="n"/>
      <c r="D497" s="19" t="n"/>
      <c r="E497" s="20" t="n"/>
      <c r="F497" s="20" t="n"/>
      <c r="G497" s="19" t="n"/>
      <c r="H497" s="19" t="n"/>
      <c r="I497" s="21" t="n"/>
      <c r="J497" s="21" t="n"/>
      <c r="K497" s="22">
        <f>IF(I497="","",MAX(0,I497-J497))</f>
        <v/>
      </c>
      <c r="L497" s="19" t="n"/>
      <c r="M497" s="18" t="n"/>
      <c r="N497" s="19" t="n"/>
      <c r="O497" s="24">
        <f>IF(OR(C497="",D497=""),"",C497&amp;"|"&amp;D497&amp;"|"&amp;TEXT(I497,"0.00"))</f>
        <v/>
      </c>
      <c r="P497" s="24">
        <f>IF(OR(F497="",K497=0),0,MAX(0,TODAY()-F497))</f>
        <v/>
      </c>
      <c r="Q497" s="24">
        <f>IF(OR(L497="Paid",L497="Cancelled",F497=""),"",IF(F497&lt;TODAY(),"OVERDUE",IF(F497&lt;=TODAY()+'Setup &amp; Lists'!$M$7,"DUE SOON","")))</f>
        <v/>
      </c>
      <c r="R497" s="18" t="n"/>
    </row>
    <row r="498">
      <c r="A498" s="19" t="n"/>
      <c r="B498" s="18" t="n"/>
      <c r="C498" s="19" t="n"/>
      <c r="D498" s="19" t="n"/>
      <c r="E498" s="20" t="n"/>
      <c r="F498" s="20" t="n"/>
      <c r="G498" s="19" t="n"/>
      <c r="H498" s="19" t="n"/>
      <c r="I498" s="21" t="n"/>
      <c r="J498" s="21" t="n"/>
      <c r="K498" s="22">
        <f>IF(I498="","",MAX(0,I498-J498))</f>
        <v/>
      </c>
      <c r="L498" s="19" t="n"/>
      <c r="M498" s="18" t="n"/>
      <c r="N498" s="19" t="n"/>
      <c r="O498" s="24">
        <f>IF(OR(C498="",D498=""),"",C498&amp;"|"&amp;D498&amp;"|"&amp;TEXT(I498,"0.00"))</f>
        <v/>
      </c>
      <c r="P498" s="24">
        <f>IF(OR(F498="",K498=0),0,MAX(0,TODAY()-F498))</f>
        <v/>
      </c>
      <c r="Q498" s="24">
        <f>IF(OR(L498="Paid",L498="Cancelled",F498=""),"",IF(F498&lt;TODAY(),"OVERDUE",IF(F498&lt;=TODAY()+'Setup &amp; Lists'!$M$7,"DUE SOON","")))</f>
        <v/>
      </c>
      <c r="R498" s="18" t="n"/>
    </row>
    <row r="499">
      <c r="A499" s="19" t="n"/>
      <c r="B499" s="18" t="n"/>
      <c r="C499" s="19" t="n"/>
      <c r="D499" s="19" t="n"/>
      <c r="E499" s="20" t="n"/>
      <c r="F499" s="20" t="n"/>
      <c r="G499" s="19" t="n"/>
      <c r="H499" s="19" t="n"/>
      <c r="I499" s="21" t="n"/>
      <c r="J499" s="21" t="n"/>
      <c r="K499" s="22">
        <f>IF(I499="","",MAX(0,I499-J499))</f>
        <v/>
      </c>
      <c r="L499" s="19" t="n"/>
      <c r="M499" s="18" t="n"/>
      <c r="N499" s="19" t="n"/>
      <c r="O499" s="24">
        <f>IF(OR(C499="",D499=""),"",C499&amp;"|"&amp;D499&amp;"|"&amp;TEXT(I499,"0.00"))</f>
        <v/>
      </c>
      <c r="P499" s="24">
        <f>IF(OR(F499="",K499=0),0,MAX(0,TODAY()-F499))</f>
        <v/>
      </c>
      <c r="Q499" s="24">
        <f>IF(OR(L499="Paid",L499="Cancelled",F499=""),"",IF(F499&lt;TODAY(),"OVERDUE",IF(F499&lt;=TODAY()+'Setup &amp; Lists'!$M$7,"DUE SOON","")))</f>
        <v/>
      </c>
      <c r="R499" s="18" t="n"/>
    </row>
    <row r="500">
      <c r="A500" s="19" t="n"/>
      <c r="B500" s="18" t="n"/>
      <c r="C500" s="19" t="n"/>
      <c r="D500" s="19" t="n"/>
      <c r="E500" s="20" t="n"/>
      <c r="F500" s="20" t="n"/>
      <c r="G500" s="19" t="n"/>
      <c r="H500" s="19" t="n"/>
      <c r="I500" s="21" t="n"/>
      <c r="J500" s="21" t="n"/>
      <c r="K500" s="22">
        <f>IF(I500="","",MAX(0,I500-J500))</f>
        <v/>
      </c>
      <c r="L500" s="19" t="n"/>
      <c r="M500" s="18" t="n"/>
      <c r="N500" s="19" t="n"/>
      <c r="O500" s="24">
        <f>IF(OR(C500="",D500=""),"",C500&amp;"|"&amp;D500&amp;"|"&amp;TEXT(I500,"0.00"))</f>
        <v/>
      </c>
      <c r="P500" s="24">
        <f>IF(OR(F500="",K500=0),0,MAX(0,TODAY()-F500))</f>
        <v/>
      </c>
      <c r="Q500" s="24">
        <f>IF(OR(L500="Paid",L500="Cancelled",F500=""),"",IF(F500&lt;TODAY(),"OVERDUE",IF(F500&lt;=TODAY()+'Setup &amp; Lists'!$M$7,"DUE SOON","")))</f>
        <v/>
      </c>
      <c r="R500" s="18" t="n"/>
    </row>
    <row r="501">
      <c r="A501" s="19" t="n"/>
      <c r="B501" s="18" t="n"/>
      <c r="C501" s="19" t="n"/>
      <c r="D501" s="19" t="n"/>
      <c r="E501" s="20" t="n"/>
      <c r="F501" s="20" t="n"/>
      <c r="G501" s="19" t="n"/>
      <c r="H501" s="19" t="n"/>
      <c r="I501" s="21" t="n"/>
      <c r="J501" s="21" t="n"/>
      <c r="K501" s="22">
        <f>IF(I501="","",MAX(0,I501-J501))</f>
        <v/>
      </c>
      <c r="L501" s="19" t="n"/>
      <c r="M501" s="18" t="n"/>
      <c r="N501" s="19" t="n"/>
      <c r="O501" s="24">
        <f>IF(OR(C501="",D501=""),"",C501&amp;"|"&amp;D501&amp;"|"&amp;TEXT(I501,"0.00"))</f>
        <v/>
      </c>
      <c r="P501" s="24">
        <f>IF(OR(F501="",K501=0),0,MAX(0,TODAY()-F501))</f>
        <v/>
      </c>
      <c r="Q501" s="24">
        <f>IF(OR(L501="Paid",L501="Cancelled",F501=""),"",IF(F501&lt;TODAY(),"OVERDUE",IF(F501&lt;=TODAY()+'Setup &amp; Lists'!$M$7,"DUE SOON","")))</f>
        <v/>
      </c>
      <c r="R501" s="18" t="n"/>
    </row>
    <row r="502">
      <c r="A502" s="19" t="n"/>
      <c r="B502" s="18" t="n"/>
      <c r="C502" s="19" t="n"/>
      <c r="D502" s="19" t="n"/>
      <c r="E502" s="20" t="n"/>
      <c r="F502" s="20" t="n"/>
      <c r="G502" s="19" t="n"/>
      <c r="H502" s="19" t="n"/>
      <c r="I502" s="21" t="n"/>
      <c r="J502" s="21" t="n"/>
      <c r="K502" s="22">
        <f>IF(I502="","",MAX(0,I502-J502))</f>
        <v/>
      </c>
      <c r="L502" s="19" t="n"/>
      <c r="M502" s="18" t="n"/>
      <c r="N502" s="19" t="n"/>
      <c r="O502" s="24">
        <f>IF(OR(C502="",D502=""),"",C502&amp;"|"&amp;D502&amp;"|"&amp;TEXT(I502,"0.00"))</f>
        <v/>
      </c>
      <c r="P502" s="24">
        <f>IF(OR(F502="",K502=0),0,MAX(0,TODAY()-F502))</f>
        <v/>
      </c>
      <c r="Q502" s="24">
        <f>IF(OR(L502="Paid",L502="Cancelled",F502=""),"",IF(F502&lt;TODAY(),"OVERDUE",IF(F502&lt;=TODAY()+'Setup &amp; Lists'!$M$7,"DUE SOON","")))</f>
        <v/>
      </c>
      <c r="R502" s="18" t="n"/>
    </row>
    <row r="503">
      <c r="A503" s="19" t="n"/>
      <c r="B503" s="18" t="n"/>
      <c r="C503" s="19" t="n"/>
      <c r="D503" s="19" t="n"/>
      <c r="E503" s="20" t="n"/>
      <c r="F503" s="20" t="n"/>
      <c r="G503" s="19" t="n"/>
      <c r="H503" s="19" t="n"/>
      <c r="I503" s="21" t="n"/>
      <c r="J503" s="21" t="n"/>
      <c r="K503" s="22">
        <f>IF(I503="","",MAX(0,I503-J503))</f>
        <v/>
      </c>
      <c r="L503" s="19" t="n"/>
      <c r="M503" s="18" t="n"/>
      <c r="N503" s="19" t="n"/>
      <c r="O503" s="24">
        <f>IF(OR(C503="",D503=""),"",C503&amp;"|"&amp;D503&amp;"|"&amp;TEXT(I503,"0.00"))</f>
        <v/>
      </c>
      <c r="P503" s="24">
        <f>IF(OR(F503="",K503=0),0,MAX(0,TODAY()-F503))</f>
        <v/>
      </c>
      <c r="Q503" s="24">
        <f>IF(OR(L503="Paid",L503="Cancelled",F503=""),"",IF(F503&lt;TODAY(),"OVERDUE",IF(F503&lt;=TODAY()+'Setup &amp; Lists'!$M$7,"DUE SOON","")))</f>
        <v/>
      </c>
      <c r="R503" s="18" t="n"/>
    </row>
    <row r="504">
      <c r="A504" s="19" t="n"/>
      <c r="B504" s="18" t="n"/>
      <c r="C504" s="19" t="n"/>
      <c r="D504" s="19" t="n"/>
      <c r="E504" s="20" t="n"/>
      <c r="F504" s="20" t="n"/>
      <c r="G504" s="19" t="n"/>
      <c r="H504" s="19" t="n"/>
      <c r="I504" s="21" t="n"/>
      <c r="J504" s="21" t="n"/>
      <c r="K504" s="22">
        <f>IF(I504="","",MAX(0,I504-J504))</f>
        <v/>
      </c>
      <c r="L504" s="19" t="n"/>
      <c r="M504" s="18" t="n"/>
      <c r="N504" s="19" t="n"/>
      <c r="O504" s="24">
        <f>IF(OR(C504="",D504=""),"",C504&amp;"|"&amp;D504&amp;"|"&amp;TEXT(I504,"0.00"))</f>
        <v/>
      </c>
      <c r="P504" s="24">
        <f>IF(OR(F504="",K504=0),0,MAX(0,TODAY()-F504))</f>
        <v/>
      </c>
      <c r="Q504" s="24">
        <f>IF(OR(L504="Paid",L504="Cancelled",F504=""),"",IF(F504&lt;TODAY(),"OVERDUE",IF(F504&lt;=TODAY()+'Setup &amp; Lists'!$M$7,"DUE SOON","")))</f>
        <v/>
      </c>
      <c r="R504" s="18" t="n"/>
    </row>
  </sheetData>
  <mergeCells count="2">
    <mergeCell ref="A2:R2"/>
    <mergeCell ref="A1:R1"/>
  </mergeCells>
  <conditionalFormatting sqref="Q5:Q504">
    <cfRule type="expression" priority="1" dxfId="0">
      <formula>$Q5="OVERDUE"</formula>
    </cfRule>
    <cfRule type="expression" priority="2" dxfId="4">
      <formula>$Q5="DUE SOON"</formula>
    </cfRule>
  </conditionalFormatting>
  <conditionalFormatting sqref="O5:O504">
    <cfRule type="expression" priority="3" dxfId="0">
      <formula>AND($O5&lt;&gt;"",COUNTIF($O$5:$O$504,$O5)&gt;1)</formula>
    </cfRule>
  </conditionalFormatting>
  <dataValidations count="4">
    <dataValidation sqref="G5:G504" showDropDown="0" showInputMessage="0" showErrorMessage="0" allowBlank="1" errorTitle="Invalid value" error="Select a value from the list." promptTitle="Controlled input" prompt="Choose from the approved setup list." type="list">
      <formula1>='Setup &amp; Lists'!$A$5:$A$20</formula1>
    </dataValidation>
    <dataValidation sqref="H5:H504" showDropDown="0" showInputMessage="0" showErrorMessage="0" allowBlank="1" errorTitle="Invalid value" error="Select a value from the list." promptTitle="Controlled input" prompt="Choose from the approved setup list." type="list">
      <formula1>='Setup &amp; Lists'!$B$5:$B$20</formula1>
    </dataValidation>
    <dataValidation sqref="L5:L504" showDropDown="0" showInputMessage="0" showErrorMessage="0" allowBlank="1" errorTitle="Invalid value" error="Select a value from the list." promptTitle="Controlled input" prompt="Choose from the approved setup list." type="list">
      <formula1>='Setup &amp; Lists'!$J$5:$J$12</formula1>
    </dataValidation>
    <dataValidation sqref="M5:M504" showDropDown="0" showInputMessage="0" showErrorMessage="0" allowBlank="1" errorTitle="Invalid value" error="Select a value from the list." promptTitle="Controlled input" prompt="Choose from the approved setup list." type="list">
      <formula1>='Setup &amp; Lists'!$C$5:$C$15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4" customWidth="1" min="3" max="3"/>
    <col width="24" customWidth="1" min="4" max="4"/>
    <col width="20" customWidth="1" min="5" max="5"/>
    <col width="12" customWidth="1" min="6" max="6"/>
    <col width="13" customWidth="1" min="7" max="7"/>
    <col width="13" customWidth="1" min="8" max="8"/>
    <col width="18" customWidth="1" min="9" max="9"/>
    <col width="11" customWidth="1" min="10" max="10"/>
    <col width="20" customWidth="1" min="11" max="11"/>
    <col width="20" customWidth="1" min="12" max="12"/>
    <col width="15" customWidth="1" min="13" max="13"/>
    <col width="30" customWidth="1" min="14" max="14"/>
  </cols>
  <sheetData>
    <row r="1" ht="30" customHeight="1">
      <c r="A1" s="1" t="inlineStr">
        <is>
          <t>Fixed Expenses Setup</t>
        </is>
      </c>
    </row>
    <row r="2" ht="24" customHeight="1">
      <c r="A2" s="2" t="inlineStr">
        <is>
          <t>قوالب المصروفات الدورية؛ عند توليد الالتزام استخدم Source Type = Fixed وSource ID = Fixed ID</t>
        </is>
      </c>
    </row>
    <row r="4" ht="32" customHeight="1">
      <c r="A4" s="17" t="inlineStr">
        <is>
          <t>Fixed ID</t>
        </is>
      </c>
      <c r="B4" s="17" t="inlineStr">
        <is>
          <t>Branch</t>
        </is>
      </c>
      <c r="C4" s="17" t="inlineStr">
        <is>
          <t>Expense Type</t>
        </is>
      </c>
      <c r="D4" s="17" t="inlineStr">
        <is>
          <t>Supplier / Payee</t>
        </is>
      </c>
      <c r="E4" s="17" t="inlineStr">
        <is>
          <t>Monthly Amount (AED)</t>
        </is>
      </c>
      <c r="F4" s="17" t="inlineStr">
        <is>
          <t>Due Day</t>
        </is>
      </c>
      <c r="G4" s="17" t="inlineStr">
        <is>
          <t>Start Date</t>
        </is>
      </c>
      <c r="H4" s="17" t="inlineStr">
        <is>
          <t>End Date</t>
        </is>
      </c>
      <c r="I4" s="17" t="inlineStr">
        <is>
          <t>Payment Method</t>
        </is>
      </c>
      <c r="J4" s="17" t="inlineStr">
        <is>
          <t>Active</t>
        </is>
      </c>
      <c r="K4" s="17" t="inlineStr">
        <is>
          <t>Source Reference</t>
        </is>
      </c>
      <c r="L4" s="17" t="inlineStr">
        <is>
          <t>Last Generated Month</t>
        </is>
      </c>
      <c r="M4" s="17" t="inlineStr">
        <is>
          <t>Next Due Date</t>
        </is>
      </c>
      <c r="N4" s="17" t="inlineStr">
        <is>
          <t>Notes</t>
        </is>
      </c>
    </row>
    <row r="5">
      <c r="A5" s="18" t="n"/>
      <c r="B5" s="18" t="n"/>
      <c r="C5" s="18" t="n"/>
      <c r="D5" s="18" t="n"/>
      <c r="E5" s="25" t="n"/>
      <c r="F5" s="18" t="n"/>
      <c r="G5" s="23" t="n"/>
      <c r="H5" s="23" t="n"/>
      <c r="I5" s="18" t="n"/>
      <c r="J5" s="18" t="n"/>
      <c r="K5" s="18" t="n"/>
      <c r="L5" s="23" t="n"/>
      <c r="M5" s="26">
        <f>IF(OR(F5="",J5&lt;&gt;"Yes"),"",DATE(YEAR(TODAY()),MONTH(TODAY())+(DAY(TODAY())&gt;F5),MIN(F5,DAY(EOMONTH(DATE(YEAR(TODAY()),MONTH(TODAY())+(DAY(TODAY())&gt;F5),1),0)))))</f>
        <v/>
      </c>
      <c r="N5" s="18" t="n"/>
    </row>
    <row r="6">
      <c r="A6" s="18" t="n"/>
      <c r="B6" s="18" t="n"/>
      <c r="C6" s="18" t="n"/>
      <c r="D6" s="18" t="n"/>
      <c r="E6" s="25" t="n"/>
      <c r="F6" s="18" t="n"/>
      <c r="G6" s="23" t="n"/>
      <c r="H6" s="23" t="n"/>
      <c r="I6" s="18" t="n"/>
      <c r="J6" s="18" t="n"/>
      <c r="K6" s="18" t="n"/>
      <c r="L6" s="23" t="n"/>
      <c r="M6" s="26">
        <f>IF(OR(F6="",J6&lt;&gt;"Yes"),"",DATE(YEAR(TODAY()),MONTH(TODAY())+(DAY(TODAY())&gt;F6),MIN(F6,DAY(EOMONTH(DATE(YEAR(TODAY()),MONTH(TODAY())+(DAY(TODAY())&gt;F6),1),0)))))</f>
        <v/>
      </c>
      <c r="N6" s="18" t="n"/>
    </row>
    <row r="7">
      <c r="A7" s="18" t="n"/>
      <c r="B7" s="18" t="n"/>
      <c r="C7" s="18" t="n"/>
      <c r="D7" s="18" t="n"/>
      <c r="E7" s="25" t="n"/>
      <c r="F7" s="18" t="n"/>
      <c r="G7" s="23" t="n"/>
      <c r="H7" s="23" t="n"/>
      <c r="I7" s="18" t="n"/>
      <c r="J7" s="18" t="n"/>
      <c r="K7" s="18" t="n"/>
      <c r="L7" s="23" t="n"/>
      <c r="M7" s="26">
        <f>IF(OR(F7="",J7&lt;&gt;"Yes"),"",DATE(YEAR(TODAY()),MONTH(TODAY())+(DAY(TODAY())&gt;F7),MIN(F7,DAY(EOMONTH(DATE(YEAR(TODAY()),MONTH(TODAY())+(DAY(TODAY())&gt;F7),1),0)))))</f>
        <v/>
      </c>
      <c r="N7" s="18" t="n"/>
    </row>
    <row r="8">
      <c r="A8" s="18" t="n"/>
      <c r="B8" s="18" t="n"/>
      <c r="C8" s="18" t="n"/>
      <c r="D8" s="18" t="n"/>
      <c r="E8" s="25" t="n"/>
      <c r="F8" s="18" t="n"/>
      <c r="G8" s="23" t="n"/>
      <c r="H8" s="23" t="n"/>
      <c r="I8" s="18" t="n"/>
      <c r="J8" s="18" t="n"/>
      <c r="K8" s="18" t="n"/>
      <c r="L8" s="23" t="n"/>
      <c r="M8" s="26">
        <f>IF(OR(F8="",J8&lt;&gt;"Yes"),"",DATE(YEAR(TODAY()),MONTH(TODAY())+(DAY(TODAY())&gt;F8),MIN(F8,DAY(EOMONTH(DATE(YEAR(TODAY()),MONTH(TODAY())+(DAY(TODAY())&gt;F8),1),0)))))</f>
        <v/>
      </c>
      <c r="N8" s="18" t="n"/>
    </row>
    <row r="9">
      <c r="A9" s="18" t="n"/>
      <c r="B9" s="18" t="n"/>
      <c r="C9" s="18" t="n"/>
      <c r="D9" s="18" t="n"/>
      <c r="E9" s="25" t="n"/>
      <c r="F9" s="18" t="n"/>
      <c r="G9" s="23" t="n"/>
      <c r="H9" s="23" t="n"/>
      <c r="I9" s="18" t="n"/>
      <c r="J9" s="18" t="n"/>
      <c r="K9" s="18" t="n"/>
      <c r="L9" s="23" t="n"/>
      <c r="M9" s="26">
        <f>IF(OR(F9="",J9&lt;&gt;"Yes"),"",DATE(YEAR(TODAY()),MONTH(TODAY())+(DAY(TODAY())&gt;F9),MIN(F9,DAY(EOMONTH(DATE(YEAR(TODAY()),MONTH(TODAY())+(DAY(TODAY())&gt;F9),1),0)))))</f>
        <v/>
      </c>
      <c r="N9" s="18" t="n"/>
    </row>
    <row r="10">
      <c r="A10" s="18" t="n"/>
      <c r="B10" s="18" t="n"/>
      <c r="C10" s="18" t="n"/>
      <c r="D10" s="18" t="n"/>
      <c r="E10" s="25" t="n"/>
      <c r="F10" s="18" t="n"/>
      <c r="G10" s="23" t="n"/>
      <c r="H10" s="23" t="n"/>
      <c r="I10" s="18" t="n"/>
      <c r="J10" s="18" t="n"/>
      <c r="K10" s="18" t="n"/>
      <c r="L10" s="23" t="n"/>
      <c r="M10" s="26">
        <f>IF(OR(F10="",J10&lt;&gt;"Yes"),"",DATE(YEAR(TODAY()),MONTH(TODAY())+(DAY(TODAY())&gt;F10),MIN(F10,DAY(EOMONTH(DATE(YEAR(TODAY()),MONTH(TODAY())+(DAY(TODAY())&gt;F10),1),0)))))</f>
        <v/>
      </c>
      <c r="N10" s="18" t="n"/>
    </row>
    <row r="11">
      <c r="A11" s="18" t="n"/>
      <c r="B11" s="18" t="n"/>
      <c r="C11" s="18" t="n"/>
      <c r="D11" s="18" t="n"/>
      <c r="E11" s="25" t="n"/>
      <c r="F11" s="18" t="n"/>
      <c r="G11" s="23" t="n"/>
      <c r="H11" s="23" t="n"/>
      <c r="I11" s="18" t="n"/>
      <c r="J11" s="18" t="n"/>
      <c r="K11" s="18" t="n"/>
      <c r="L11" s="23" t="n"/>
      <c r="M11" s="26">
        <f>IF(OR(F11="",J11&lt;&gt;"Yes"),"",DATE(YEAR(TODAY()),MONTH(TODAY())+(DAY(TODAY())&gt;F11),MIN(F11,DAY(EOMONTH(DATE(YEAR(TODAY()),MONTH(TODAY())+(DAY(TODAY())&gt;F11),1),0)))))</f>
        <v/>
      </c>
      <c r="N11" s="18" t="n"/>
    </row>
    <row r="12">
      <c r="A12" s="18" t="n"/>
      <c r="B12" s="18" t="n"/>
      <c r="C12" s="18" t="n"/>
      <c r="D12" s="18" t="n"/>
      <c r="E12" s="25" t="n"/>
      <c r="F12" s="18" t="n"/>
      <c r="G12" s="23" t="n"/>
      <c r="H12" s="23" t="n"/>
      <c r="I12" s="18" t="n"/>
      <c r="J12" s="18" t="n"/>
      <c r="K12" s="18" t="n"/>
      <c r="L12" s="23" t="n"/>
      <c r="M12" s="26">
        <f>IF(OR(F12="",J12&lt;&gt;"Yes"),"",DATE(YEAR(TODAY()),MONTH(TODAY())+(DAY(TODAY())&gt;F12),MIN(F12,DAY(EOMONTH(DATE(YEAR(TODAY()),MONTH(TODAY())+(DAY(TODAY())&gt;F12),1),0)))))</f>
        <v/>
      </c>
      <c r="N12" s="18" t="n"/>
    </row>
    <row r="13">
      <c r="A13" s="18" t="n"/>
      <c r="B13" s="18" t="n"/>
      <c r="C13" s="18" t="n"/>
      <c r="D13" s="18" t="n"/>
      <c r="E13" s="25" t="n"/>
      <c r="F13" s="18" t="n"/>
      <c r="G13" s="23" t="n"/>
      <c r="H13" s="23" t="n"/>
      <c r="I13" s="18" t="n"/>
      <c r="J13" s="18" t="n"/>
      <c r="K13" s="18" t="n"/>
      <c r="L13" s="23" t="n"/>
      <c r="M13" s="26">
        <f>IF(OR(F13="",J13&lt;&gt;"Yes"),"",DATE(YEAR(TODAY()),MONTH(TODAY())+(DAY(TODAY())&gt;F13),MIN(F13,DAY(EOMONTH(DATE(YEAR(TODAY()),MONTH(TODAY())+(DAY(TODAY())&gt;F13),1),0)))))</f>
        <v/>
      </c>
      <c r="N13" s="18" t="n"/>
    </row>
    <row r="14">
      <c r="A14" s="18" t="n"/>
      <c r="B14" s="18" t="n"/>
      <c r="C14" s="18" t="n"/>
      <c r="D14" s="18" t="n"/>
      <c r="E14" s="25" t="n"/>
      <c r="F14" s="18" t="n"/>
      <c r="G14" s="23" t="n"/>
      <c r="H14" s="23" t="n"/>
      <c r="I14" s="18" t="n"/>
      <c r="J14" s="18" t="n"/>
      <c r="K14" s="18" t="n"/>
      <c r="L14" s="23" t="n"/>
      <c r="M14" s="26">
        <f>IF(OR(F14="",J14&lt;&gt;"Yes"),"",DATE(YEAR(TODAY()),MONTH(TODAY())+(DAY(TODAY())&gt;F14),MIN(F14,DAY(EOMONTH(DATE(YEAR(TODAY()),MONTH(TODAY())+(DAY(TODAY())&gt;F14),1),0)))))</f>
        <v/>
      </c>
      <c r="N14" s="18" t="n"/>
    </row>
    <row r="15">
      <c r="A15" s="18" t="n"/>
      <c r="B15" s="18" t="n"/>
      <c r="C15" s="18" t="n"/>
      <c r="D15" s="18" t="n"/>
      <c r="E15" s="25" t="n"/>
      <c r="F15" s="18" t="n"/>
      <c r="G15" s="23" t="n"/>
      <c r="H15" s="23" t="n"/>
      <c r="I15" s="18" t="n"/>
      <c r="J15" s="18" t="n"/>
      <c r="K15" s="18" t="n"/>
      <c r="L15" s="23" t="n"/>
      <c r="M15" s="26">
        <f>IF(OR(F15="",J15&lt;&gt;"Yes"),"",DATE(YEAR(TODAY()),MONTH(TODAY())+(DAY(TODAY())&gt;F15),MIN(F15,DAY(EOMONTH(DATE(YEAR(TODAY()),MONTH(TODAY())+(DAY(TODAY())&gt;F15),1),0)))))</f>
        <v/>
      </c>
      <c r="N15" s="18" t="n"/>
    </row>
    <row r="16">
      <c r="A16" s="18" t="n"/>
      <c r="B16" s="18" t="n"/>
      <c r="C16" s="18" t="n"/>
      <c r="D16" s="18" t="n"/>
      <c r="E16" s="25" t="n"/>
      <c r="F16" s="18" t="n"/>
      <c r="G16" s="23" t="n"/>
      <c r="H16" s="23" t="n"/>
      <c r="I16" s="18" t="n"/>
      <c r="J16" s="18" t="n"/>
      <c r="K16" s="18" t="n"/>
      <c r="L16" s="23" t="n"/>
      <c r="M16" s="26">
        <f>IF(OR(F16="",J16&lt;&gt;"Yes"),"",DATE(YEAR(TODAY()),MONTH(TODAY())+(DAY(TODAY())&gt;F16),MIN(F16,DAY(EOMONTH(DATE(YEAR(TODAY()),MONTH(TODAY())+(DAY(TODAY())&gt;F16),1),0)))))</f>
        <v/>
      </c>
      <c r="N16" s="18" t="n"/>
    </row>
    <row r="17">
      <c r="A17" s="18" t="n"/>
      <c r="B17" s="18" t="n"/>
      <c r="C17" s="18" t="n"/>
      <c r="D17" s="18" t="n"/>
      <c r="E17" s="25" t="n"/>
      <c r="F17" s="18" t="n"/>
      <c r="G17" s="23" t="n"/>
      <c r="H17" s="23" t="n"/>
      <c r="I17" s="18" t="n"/>
      <c r="J17" s="18" t="n"/>
      <c r="K17" s="18" t="n"/>
      <c r="L17" s="23" t="n"/>
      <c r="M17" s="26">
        <f>IF(OR(F17="",J17&lt;&gt;"Yes"),"",DATE(YEAR(TODAY()),MONTH(TODAY())+(DAY(TODAY())&gt;F17),MIN(F17,DAY(EOMONTH(DATE(YEAR(TODAY()),MONTH(TODAY())+(DAY(TODAY())&gt;F17),1),0)))))</f>
        <v/>
      </c>
      <c r="N17" s="18" t="n"/>
    </row>
    <row r="18">
      <c r="A18" s="18" t="n"/>
      <c r="B18" s="18" t="n"/>
      <c r="C18" s="18" t="n"/>
      <c r="D18" s="18" t="n"/>
      <c r="E18" s="25" t="n"/>
      <c r="F18" s="18" t="n"/>
      <c r="G18" s="23" t="n"/>
      <c r="H18" s="23" t="n"/>
      <c r="I18" s="18" t="n"/>
      <c r="J18" s="18" t="n"/>
      <c r="K18" s="18" t="n"/>
      <c r="L18" s="23" t="n"/>
      <c r="M18" s="26">
        <f>IF(OR(F18="",J18&lt;&gt;"Yes"),"",DATE(YEAR(TODAY()),MONTH(TODAY())+(DAY(TODAY())&gt;F18),MIN(F18,DAY(EOMONTH(DATE(YEAR(TODAY()),MONTH(TODAY())+(DAY(TODAY())&gt;F18),1),0)))))</f>
        <v/>
      </c>
      <c r="N18" s="18" t="n"/>
    </row>
    <row r="19">
      <c r="A19" s="18" t="n"/>
      <c r="B19" s="18" t="n"/>
      <c r="C19" s="18" t="n"/>
      <c r="D19" s="18" t="n"/>
      <c r="E19" s="25" t="n"/>
      <c r="F19" s="18" t="n"/>
      <c r="G19" s="23" t="n"/>
      <c r="H19" s="23" t="n"/>
      <c r="I19" s="18" t="n"/>
      <c r="J19" s="18" t="n"/>
      <c r="K19" s="18" t="n"/>
      <c r="L19" s="23" t="n"/>
      <c r="M19" s="26">
        <f>IF(OR(F19="",J19&lt;&gt;"Yes"),"",DATE(YEAR(TODAY()),MONTH(TODAY())+(DAY(TODAY())&gt;F19),MIN(F19,DAY(EOMONTH(DATE(YEAR(TODAY()),MONTH(TODAY())+(DAY(TODAY())&gt;F19),1),0)))))</f>
        <v/>
      </c>
      <c r="N19" s="18" t="n"/>
    </row>
    <row r="20">
      <c r="A20" s="18" t="n"/>
      <c r="B20" s="18" t="n"/>
      <c r="C20" s="18" t="n"/>
      <c r="D20" s="18" t="n"/>
      <c r="E20" s="25" t="n"/>
      <c r="F20" s="18" t="n"/>
      <c r="G20" s="23" t="n"/>
      <c r="H20" s="23" t="n"/>
      <c r="I20" s="18" t="n"/>
      <c r="J20" s="18" t="n"/>
      <c r="K20" s="18" t="n"/>
      <c r="L20" s="23" t="n"/>
      <c r="M20" s="26">
        <f>IF(OR(F20="",J20&lt;&gt;"Yes"),"",DATE(YEAR(TODAY()),MONTH(TODAY())+(DAY(TODAY())&gt;F20),MIN(F20,DAY(EOMONTH(DATE(YEAR(TODAY()),MONTH(TODAY())+(DAY(TODAY())&gt;F20),1),0)))))</f>
        <v/>
      </c>
      <c r="N20" s="18" t="n"/>
    </row>
    <row r="21">
      <c r="A21" s="18" t="n"/>
      <c r="B21" s="18" t="n"/>
      <c r="C21" s="18" t="n"/>
      <c r="D21" s="18" t="n"/>
      <c r="E21" s="25" t="n"/>
      <c r="F21" s="18" t="n"/>
      <c r="G21" s="23" t="n"/>
      <c r="H21" s="23" t="n"/>
      <c r="I21" s="18" t="n"/>
      <c r="J21" s="18" t="n"/>
      <c r="K21" s="18" t="n"/>
      <c r="L21" s="23" t="n"/>
      <c r="M21" s="26">
        <f>IF(OR(F21="",J21&lt;&gt;"Yes"),"",DATE(YEAR(TODAY()),MONTH(TODAY())+(DAY(TODAY())&gt;F21),MIN(F21,DAY(EOMONTH(DATE(YEAR(TODAY()),MONTH(TODAY())+(DAY(TODAY())&gt;F21),1),0)))))</f>
        <v/>
      </c>
      <c r="N21" s="18" t="n"/>
    </row>
    <row r="22">
      <c r="A22" s="18" t="n"/>
      <c r="B22" s="18" t="n"/>
      <c r="C22" s="18" t="n"/>
      <c r="D22" s="18" t="n"/>
      <c r="E22" s="25" t="n"/>
      <c r="F22" s="18" t="n"/>
      <c r="G22" s="23" t="n"/>
      <c r="H22" s="23" t="n"/>
      <c r="I22" s="18" t="n"/>
      <c r="J22" s="18" t="n"/>
      <c r="K22" s="18" t="n"/>
      <c r="L22" s="23" t="n"/>
      <c r="M22" s="26">
        <f>IF(OR(F22="",J22&lt;&gt;"Yes"),"",DATE(YEAR(TODAY()),MONTH(TODAY())+(DAY(TODAY())&gt;F22),MIN(F22,DAY(EOMONTH(DATE(YEAR(TODAY()),MONTH(TODAY())+(DAY(TODAY())&gt;F22),1),0)))))</f>
        <v/>
      </c>
      <c r="N22" s="18" t="n"/>
    </row>
    <row r="23">
      <c r="A23" s="18" t="n"/>
      <c r="B23" s="18" t="n"/>
      <c r="C23" s="18" t="n"/>
      <c r="D23" s="18" t="n"/>
      <c r="E23" s="25" t="n"/>
      <c r="F23" s="18" t="n"/>
      <c r="G23" s="23" t="n"/>
      <c r="H23" s="23" t="n"/>
      <c r="I23" s="18" t="n"/>
      <c r="J23" s="18" t="n"/>
      <c r="K23" s="18" t="n"/>
      <c r="L23" s="23" t="n"/>
      <c r="M23" s="26">
        <f>IF(OR(F23="",J23&lt;&gt;"Yes"),"",DATE(YEAR(TODAY()),MONTH(TODAY())+(DAY(TODAY())&gt;F23),MIN(F23,DAY(EOMONTH(DATE(YEAR(TODAY()),MONTH(TODAY())+(DAY(TODAY())&gt;F23),1),0)))))</f>
        <v/>
      </c>
      <c r="N23" s="18" t="n"/>
    </row>
    <row r="24">
      <c r="A24" s="18" t="n"/>
      <c r="B24" s="18" t="n"/>
      <c r="C24" s="18" t="n"/>
      <c r="D24" s="18" t="n"/>
      <c r="E24" s="25" t="n"/>
      <c r="F24" s="18" t="n"/>
      <c r="G24" s="23" t="n"/>
      <c r="H24" s="23" t="n"/>
      <c r="I24" s="18" t="n"/>
      <c r="J24" s="18" t="n"/>
      <c r="K24" s="18" t="n"/>
      <c r="L24" s="23" t="n"/>
      <c r="M24" s="26">
        <f>IF(OR(F24="",J24&lt;&gt;"Yes"),"",DATE(YEAR(TODAY()),MONTH(TODAY())+(DAY(TODAY())&gt;F24),MIN(F24,DAY(EOMONTH(DATE(YEAR(TODAY()),MONTH(TODAY())+(DAY(TODAY())&gt;F24),1),0)))))</f>
        <v/>
      </c>
      <c r="N24" s="18" t="n"/>
    </row>
    <row r="25">
      <c r="A25" s="18" t="n"/>
      <c r="B25" s="18" t="n"/>
      <c r="C25" s="18" t="n"/>
      <c r="D25" s="18" t="n"/>
      <c r="E25" s="25" t="n"/>
      <c r="F25" s="18" t="n"/>
      <c r="G25" s="23" t="n"/>
      <c r="H25" s="23" t="n"/>
      <c r="I25" s="18" t="n"/>
      <c r="J25" s="18" t="n"/>
      <c r="K25" s="18" t="n"/>
      <c r="L25" s="23" t="n"/>
      <c r="M25" s="26">
        <f>IF(OR(F25="",J25&lt;&gt;"Yes"),"",DATE(YEAR(TODAY()),MONTH(TODAY())+(DAY(TODAY())&gt;F25),MIN(F25,DAY(EOMONTH(DATE(YEAR(TODAY()),MONTH(TODAY())+(DAY(TODAY())&gt;F25),1),0)))))</f>
        <v/>
      </c>
      <c r="N25" s="18" t="n"/>
    </row>
    <row r="26">
      <c r="A26" s="18" t="n"/>
      <c r="B26" s="18" t="n"/>
      <c r="C26" s="18" t="n"/>
      <c r="D26" s="18" t="n"/>
      <c r="E26" s="25" t="n"/>
      <c r="F26" s="18" t="n"/>
      <c r="G26" s="23" t="n"/>
      <c r="H26" s="23" t="n"/>
      <c r="I26" s="18" t="n"/>
      <c r="J26" s="18" t="n"/>
      <c r="K26" s="18" t="n"/>
      <c r="L26" s="23" t="n"/>
      <c r="M26" s="26">
        <f>IF(OR(F26="",J26&lt;&gt;"Yes"),"",DATE(YEAR(TODAY()),MONTH(TODAY())+(DAY(TODAY())&gt;F26),MIN(F26,DAY(EOMONTH(DATE(YEAR(TODAY()),MONTH(TODAY())+(DAY(TODAY())&gt;F26),1),0)))))</f>
        <v/>
      </c>
      <c r="N26" s="18" t="n"/>
    </row>
    <row r="27">
      <c r="A27" s="18" t="n"/>
      <c r="B27" s="18" t="n"/>
      <c r="C27" s="18" t="n"/>
      <c r="D27" s="18" t="n"/>
      <c r="E27" s="25" t="n"/>
      <c r="F27" s="18" t="n"/>
      <c r="G27" s="23" t="n"/>
      <c r="H27" s="23" t="n"/>
      <c r="I27" s="18" t="n"/>
      <c r="J27" s="18" t="n"/>
      <c r="K27" s="18" t="n"/>
      <c r="L27" s="23" t="n"/>
      <c r="M27" s="26">
        <f>IF(OR(F27="",J27&lt;&gt;"Yes"),"",DATE(YEAR(TODAY()),MONTH(TODAY())+(DAY(TODAY())&gt;F27),MIN(F27,DAY(EOMONTH(DATE(YEAR(TODAY()),MONTH(TODAY())+(DAY(TODAY())&gt;F27),1),0)))))</f>
        <v/>
      </c>
      <c r="N27" s="18" t="n"/>
    </row>
    <row r="28">
      <c r="A28" s="18" t="n"/>
      <c r="B28" s="18" t="n"/>
      <c r="C28" s="18" t="n"/>
      <c r="D28" s="18" t="n"/>
      <c r="E28" s="25" t="n"/>
      <c r="F28" s="18" t="n"/>
      <c r="G28" s="23" t="n"/>
      <c r="H28" s="23" t="n"/>
      <c r="I28" s="18" t="n"/>
      <c r="J28" s="18" t="n"/>
      <c r="K28" s="18" t="n"/>
      <c r="L28" s="23" t="n"/>
      <c r="M28" s="26">
        <f>IF(OR(F28="",J28&lt;&gt;"Yes"),"",DATE(YEAR(TODAY()),MONTH(TODAY())+(DAY(TODAY())&gt;F28),MIN(F28,DAY(EOMONTH(DATE(YEAR(TODAY()),MONTH(TODAY())+(DAY(TODAY())&gt;F28),1),0)))))</f>
        <v/>
      </c>
      <c r="N28" s="18" t="n"/>
    </row>
    <row r="29">
      <c r="A29" s="18" t="n"/>
      <c r="B29" s="18" t="n"/>
      <c r="C29" s="18" t="n"/>
      <c r="D29" s="18" t="n"/>
      <c r="E29" s="25" t="n"/>
      <c r="F29" s="18" t="n"/>
      <c r="G29" s="23" t="n"/>
      <c r="H29" s="23" t="n"/>
      <c r="I29" s="18" t="n"/>
      <c r="J29" s="18" t="n"/>
      <c r="K29" s="18" t="n"/>
      <c r="L29" s="23" t="n"/>
      <c r="M29" s="26">
        <f>IF(OR(F29="",J29&lt;&gt;"Yes"),"",DATE(YEAR(TODAY()),MONTH(TODAY())+(DAY(TODAY())&gt;F29),MIN(F29,DAY(EOMONTH(DATE(YEAR(TODAY()),MONTH(TODAY())+(DAY(TODAY())&gt;F29),1),0)))))</f>
        <v/>
      </c>
      <c r="N29" s="18" t="n"/>
    </row>
    <row r="30">
      <c r="A30" s="18" t="n"/>
      <c r="B30" s="18" t="n"/>
      <c r="C30" s="18" t="n"/>
      <c r="D30" s="18" t="n"/>
      <c r="E30" s="25" t="n"/>
      <c r="F30" s="18" t="n"/>
      <c r="G30" s="23" t="n"/>
      <c r="H30" s="23" t="n"/>
      <c r="I30" s="18" t="n"/>
      <c r="J30" s="18" t="n"/>
      <c r="K30" s="18" t="n"/>
      <c r="L30" s="23" t="n"/>
      <c r="M30" s="26">
        <f>IF(OR(F30="",J30&lt;&gt;"Yes"),"",DATE(YEAR(TODAY()),MONTH(TODAY())+(DAY(TODAY())&gt;F30),MIN(F30,DAY(EOMONTH(DATE(YEAR(TODAY()),MONTH(TODAY())+(DAY(TODAY())&gt;F30),1),0)))))</f>
        <v/>
      </c>
      <c r="N30" s="18" t="n"/>
    </row>
    <row r="31">
      <c r="A31" s="18" t="n"/>
      <c r="B31" s="18" t="n"/>
      <c r="C31" s="18" t="n"/>
      <c r="D31" s="18" t="n"/>
      <c r="E31" s="25" t="n"/>
      <c r="F31" s="18" t="n"/>
      <c r="G31" s="23" t="n"/>
      <c r="H31" s="23" t="n"/>
      <c r="I31" s="18" t="n"/>
      <c r="J31" s="18" t="n"/>
      <c r="K31" s="18" t="n"/>
      <c r="L31" s="23" t="n"/>
      <c r="M31" s="26">
        <f>IF(OR(F31="",J31&lt;&gt;"Yes"),"",DATE(YEAR(TODAY()),MONTH(TODAY())+(DAY(TODAY())&gt;F31),MIN(F31,DAY(EOMONTH(DATE(YEAR(TODAY()),MONTH(TODAY())+(DAY(TODAY())&gt;F31),1),0)))))</f>
        <v/>
      </c>
      <c r="N31" s="18" t="n"/>
    </row>
    <row r="32">
      <c r="A32" s="18" t="n"/>
      <c r="B32" s="18" t="n"/>
      <c r="C32" s="18" t="n"/>
      <c r="D32" s="18" t="n"/>
      <c r="E32" s="25" t="n"/>
      <c r="F32" s="18" t="n"/>
      <c r="G32" s="23" t="n"/>
      <c r="H32" s="23" t="n"/>
      <c r="I32" s="18" t="n"/>
      <c r="J32" s="18" t="n"/>
      <c r="K32" s="18" t="n"/>
      <c r="L32" s="23" t="n"/>
      <c r="M32" s="26">
        <f>IF(OR(F32="",J32&lt;&gt;"Yes"),"",DATE(YEAR(TODAY()),MONTH(TODAY())+(DAY(TODAY())&gt;F32),MIN(F32,DAY(EOMONTH(DATE(YEAR(TODAY()),MONTH(TODAY())+(DAY(TODAY())&gt;F32),1),0)))))</f>
        <v/>
      </c>
      <c r="N32" s="18" t="n"/>
    </row>
    <row r="33">
      <c r="A33" s="18" t="n"/>
      <c r="B33" s="18" t="n"/>
      <c r="C33" s="18" t="n"/>
      <c r="D33" s="18" t="n"/>
      <c r="E33" s="25" t="n"/>
      <c r="F33" s="18" t="n"/>
      <c r="G33" s="23" t="n"/>
      <c r="H33" s="23" t="n"/>
      <c r="I33" s="18" t="n"/>
      <c r="J33" s="18" t="n"/>
      <c r="K33" s="18" t="n"/>
      <c r="L33" s="23" t="n"/>
      <c r="M33" s="26">
        <f>IF(OR(F33="",J33&lt;&gt;"Yes"),"",DATE(YEAR(TODAY()),MONTH(TODAY())+(DAY(TODAY())&gt;F33),MIN(F33,DAY(EOMONTH(DATE(YEAR(TODAY()),MONTH(TODAY())+(DAY(TODAY())&gt;F33),1),0)))))</f>
        <v/>
      </c>
      <c r="N33" s="18" t="n"/>
    </row>
    <row r="34">
      <c r="A34" s="18" t="n"/>
      <c r="B34" s="18" t="n"/>
      <c r="C34" s="18" t="n"/>
      <c r="D34" s="18" t="n"/>
      <c r="E34" s="25" t="n"/>
      <c r="F34" s="18" t="n"/>
      <c r="G34" s="23" t="n"/>
      <c r="H34" s="23" t="n"/>
      <c r="I34" s="18" t="n"/>
      <c r="J34" s="18" t="n"/>
      <c r="K34" s="18" t="n"/>
      <c r="L34" s="23" t="n"/>
      <c r="M34" s="26">
        <f>IF(OR(F34="",J34&lt;&gt;"Yes"),"",DATE(YEAR(TODAY()),MONTH(TODAY())+(DAY(TODAY())&gt;F34),MIN(F34,DAY(EOMONTH(DATE(YEAR(TODAY()),MONTH(TODAY())+(DAY(TODAY())&gt;F34),1),0)))))</f>
        <v/>
      </c>
      <c r="N34" s="18" t="n"/>
    </row>
    <row r="35">
      <c r="A35" s="18" t="n"/>
      <c r="B35" s="18" t="n"/>
      <c r="C35" s="18" t="n"/>
      <c r="D35" s="18" t="n"/>
      <c r="E35" s="25" t="n"/>
      <c r="F35" s="18" t="n"/>
      <c r="G35" s="23" t="n"/>
      <c r="H35" s="23" t="n"/>
      <c r="I35" s="18" t="n"/>
      <c r="J35" s="18" t="n"/>
      <c r="K35" s="18" t="n"/>
      <c r="L35" s="23" t="n"/>
      <c r="M35" s="26">
        <f>IF(OR(F35="",J35&lt;&gt;"Yes"),"",DATE(YEAR(TODAY()),MONTH(TODAY())+(DAY(TODAY())&gt;F35),MIN(F35,DAY(EOMONTH(DATE(YEAR(TODAY()),MONTH(TODAY())+(DAY(TODAY())&gt;F35),1),0)))))</f>
        <v/>
      </c>
      <c r="N35" s="18" t="n"/>
    </row>
    <row r="36">
      <c r="A36" s="18" t="n"/>
      <c r="B36" s="18" t="n"/>
      <c r="C36" s="18" t="n"/>
      <c r="D36" s="18" t="n"/>
      <c r="E36" s="25" t="n"/>
      <c r="F36" s="18" t="n"/>
      <c r="G36" s="23" t="n"/>
      <c r="H36" s="23" t="n"/>
      <c r="I36" s="18" t="n"/>
      <c r="J36" s="18" t="n"/>
      <c r="K36" s="18" t="n"/>
      <c r="L36" s="23" t="n"/>
      <c r="M36" s="26">
        <f>IF(OR(F36="",J36&lt;&gt;"Yes"),"",DATE(YEAR(TODAY()),MONTH(TODAY())+(DAY(TODAY())&gt;F36),MIN(F36,DAY(EOMONTH(DATE(YEAR(TODAY()),MONTH(TODAY())+(DAY(TODAY())&gt;F36),1),0)))))</f>
        <v/>
      </c>
      <c r="N36" s="18" t="n"/>
    </row>
    <row r="37">
      <c r="A37" s="18" t="n"/>
      <c r="B37" s="18" t="n"/>
      <c r="C37" s="18" t="n"/>
      <c r="D37" s="18" t="n"/>
      <c r="E37" s="25" t="n"/>
      <c r="F37" s="18" t="n"/>
      <c r="G37" s="23" t="n"/>
      <c r="H37" s="23" t="n"/>
      <c r="I37" s="18" t="n"/>
      <c r="J37" s="18" t="n"/>
      <c r="K37" s="18" t="n"/>
      <c r="L37" s="23" t="n"/>
      <c r="M37" s="26">
        <f>IF(OR(F37="",J37&lt;&gt;"Yes"),"",DATE(YEAR(TODAY()),MONTH(TODAY())+(DAY(TODAY())&gt;F37),MIN(F37,DAY(EOMONTH(DATE(YEAR(TODAY()),MONTH(TODAY())+(DAY(TODAY())&gt;F37),1),0)))))</f>
        <v/>
      </c>
      <c r="N37" s="18" t="n"/>
    </row>
    <row r="38">
      <c r="A38" s="18" t="n"/>
      <c r="B38" s="18" t="n"/>
      <c r="C38" s="18" t="n"/>
      <c r="D38" s="18" t="n"/>
      <c r="E38" s="25" t="n"/>
      <c r="F38" s="18" t="n"/>
      <c r="G38" s="23" t="n"/>
      <c r="H38" s="23" t="n"/>
      <c r="I38" s="18" t="n"/>
      <c r="J38" s="18" t="n"/>
      <c r="K38" s="18" t="n"/>
      <c r="L38" s="23" t="n"/>
      <c r="M38" s="26">
        <f>IF(OR(F38="",J38&lt;&gt;"Yes"),"",DATE(YEAR(TODAY()),MONTH(TODAY())+(DAY(TODAY())&gt;F38),MIN(F38,DAY(EOMONTH(DATE(YEAR(TODAY()),MONTH(TODAY())+(DAY(TODAY())&gt;F38),1),0)))))</f>
        <v/>
      </c>
      <c r="N38" s="18" t="n"/>
    </row>
    <row r="39">
      <c r="A39" s="18" t="n"/>
      <c r="B39" s="18" t="n"/>
      <c r="C39" s="18" t="n"/>
      <c r="D39" s="18" t="n"/>
      <c r="E39" s="25" t="n"/>
      <c r="F39" s="18" t="n"/>
      <c r="G39" s="23" t="n"/>
      <c r="H39" s="23" t="n"/>
      <c r="I39" s="18" t="n"/>
      <c r="J39" s="18" t="n"/>
      <c r="K39" s="18" t="n"/>
      <c r="L39" s="23" t="n"/>
      <c r="M39" s="26">
        <f>IF(OR(F39="",J39&lt;&gt;"Yes"),"",DATE(YEAR(TODAY()),MONTH(TODAY())+(DAY(TODAY())&gt;F39),MIN(F39,DAY(EOMONTH(DATE(YEAR(TODAY()),MONTH(TODAY())+(DAY(TODAY())&gt;F39),1),0)))))</f>
        <v/>
      </c>
      <c r="N39" s="18" t="n"/>
    </row>
    <row r="40">
      <c r="A40" s="18" t="n"/>
      <c r="B40" s="18" t="n"/>
      <c r="C40" s="18" t="n"/>
      <c r="D40" s="18" t="n"/>
      <c r="E40" s="25" t="n"/>
      <c r="F40" s="18" t="n"/>
      <c r="G40" s="23" t="n"/>
      <c r="H40" s="23" t="n"/>
      <c r="I40" s="18" t="n"/>
      <c r="J40" s="18" t="n"/>
      <c r="K40" s="18" t="n"/>
      <c r="L40" s="23" t="n"/>
      <c r="M40" s="26">
        <f>IF(OR(F40="",J40&lt;&gt;"Yes"),"",DATE(YEAR(TODAY()),MONTH(TODAY())+(DAY(TODAY())&gt;F40),MIN(F40,DAY(EOMONTH(DATE(YEAR(TODAY()),MONTH(TODAY())+(DAY(TODAY())&gt;F40),1),0)))))</f>
        <v/>
      </c>
      <c r="N40" s="18" t="n"/>
    </row>
    <row r="41">
      <c r="A41" s="18" t="n"/>
      <c r="B41" s="18" t="n"/>
      <c r="C41" s="18" t="n"/>
      <c r="D41" s="18" t="n"/>
      <c r="E41" s="25" t="n"/>
      <c r="F41" s="18" t="n"/>
      <c r="G41" s="23" t="n"/>
      <c r="H41" s="23" t="n"/>
      <c r="I41" s="18" t="n"/>
      <c r="J41" s="18" t="n"/>
      <c r="K41" s="18" t="n"/>
      <c r="L41" s="23" t="n"/>
      <c r="M41" s="26">
        <f>IF(OR(F41="",J41&lt;&gt;"Yes"),"",DATE(YEAR(TODAY()),MONTH(TODAY())+(DAY(TODAY())&gt;F41),MIN(F41,DAY(EOMONTH(DATE(YEAR(TODAY()),MONTH(TODAY())+(DAY(TODAY())&gt;F41),1),0)))))</f>
        <v/>
      </c>
      <c r="N41" s="18" t="n"/>
    </row>
    <row r="42">
      <c r="A42" s="18" t="n"/>
      <c r="B42" s="18" t="n"/>
      <c r="C42" s="18" t="n"/>
      <c r="D42" s="18" t="n"/>
      <c r="E42" s="25" t="n"/>
      <c r="F42" s="18" t="n"/>
      <c r="G42" s="23" t="n"/>
      <c r="H42" s="23" t="n"/>
      <c r="I42" s="18" t="n"/>
      <c r="J42" s="18" t="n"/>
      <c r="K42" s="18" t="n"/>
      <c r="L42" s="23" t="n"/>
      <c r="M42" s="26">
        <f>IF(OR(F42="",J42&lt;&gt;"Yes"),"",DATE(YEAR(TODAY()),MONTH(TODAY())+(DAY(TODAY())&gt;F42),MIN(F42,DAY(EOMONTH(DATE(YEAR(TODAY()),MONTH(TODAY())+(DAY(TODAY())&gt;F42),1),0)))))</f>
        <v/>
      </c>
      <c r="N42" s="18" t="n"/>
    </row>
    <row r="43">
      <c r="A43" s="18" t="n"/>
      <c r="B43" s="18" t="n"/>
      <c r="C43" s="18" t="n"/>
      <c r="D43" s="18" t="n"/>
      <c r="E43" s="25" t="n"/>
      <c r="F43" s="18" t="n"/>
      <c r="G43" s="23" t="n"/>
      <c r="H43" s="23" t="n"/>
      <c r="I43" s="18" t="n"/>
      <c r="J43" s="18" t="n"/>
      <c r="K43" s="18" t="n"/>
      <c r="L43" s="23" t="n"/>
      <c r="M43" s="26">
        <f>IF(OR(F43="",J43&lt;&gt;"Yes"),"",DATE(YEAR(TODAY()),MONTH(TODAY())+(DAY(TODAY())&gt;F43),MIN(F43,DAY(EOMONTH(DATE(YEAR(TODAY()),MONTH(TODAY())+(DAY(TODAY())&gt;F43),1),0)))))</f>
        <v/>
      </c>
      <c r="N43" s="18" t="n"/>
    </row>
    <row r="44">
      <c r="A44" s="18" t="n"/>
      <c r="B44" s="18" t="n"/>
      <c r="C44" s="18" t="n"/>
      <c r="D44" s="18" t="n"/>
      <c r="E44" s="25" t="n"/>
      <c r="F44" s="18" t="n"/>
      <c r="G44" s="23" t="n"/>
      <c r="H44" s="23" t="n"/>
      <c r="I44" s="18" t="n"/>
      <c r="J44" s="18" t="n"/>
      <c r="K44" s="18" t="n"/>
      <c r="L44" s="23" t="n"/>
      <c r="M44" s="26">
        <f>IF(OR(F44="",J44&lt;&gt;"Yes"),"",DATE(YEAR(TODAY()),MONTH(TODAY())+(DAY(TODAY())&gt;F44),MIN(F44,DAY(EOMONTH(DATE(YEAR(TODAY()),MONTH(TODAY())+(DAY(TODAY())&gt;F44),1),0)))))</f>
        <v/>
      </c>
      <c r="N44" s="18" t="n"/>
    </row>
    <row r="45">
      <c r="A45" s="18" t="n"/>
      <c r="B45" s="18" t="n"/>
      <c r="C45" s="18" t="n"/>
      <c r="D45" s="18" t="n"/>
      <c r="E45" s="25" t="n"/>
      <c r="F45" s="18" t="n"/>
      <c r="G45" s="23" t="n"/>
      <c r="H45" s="23" t="n"/>
      <c r="I45" s="18" t="n"/>
      <c r="J45" s="18" t="n"/>
      <c r="K45" s="18" t="n"/>
      <c r="L45" s="23" t="n"/>
      <c r="M45" s="26">
        <f>IF(OR(F45="",J45&lt;&gt;"Yes"),"",DATE(YEAR(TODAY()),MONTH(TODAY())+(DAY(TODAY())&gt;F45),MIN(F45,DAY(EOMONTH(DATE(YEAR(TODAY()),MONTH(TODAY())+(DAY(TODAY())&gt;F45),1),0)))))</f>
        <v/>
      </c>
      <c r="N45" s="18" t="n"/>
    </row>
    <row r="46">
      <c r="A46" s="18" t="n"/>
      <c r="B46" s="18" t="n"/>
      <c r="C46" s="18" t="n"/>
      <c r="D46" s="18" t="n"/>
      <c r="E46" s="25" t="n"/>
      <c r="F46" s="18" t="n"/>
      <c r="G46" s="23" t="n"/>
      <c r="H46" s="23" t="n"/>
      <c r="I46" s="18" t="n"/>
      <c r="J46" s="18" t="n"/>
      <c r="K46" s="18" t="n"/>
      <c r="L46" s="23" t="n"/>
      <c r="M46" s="26">
        <f>IF(OR(F46="",J46&lt;&gt;"Yes"),"",DATE(YEAR(TODAY()),MONTH(TODAY())+(DAY(TODAY())&gt;F46),MIN(F46,DAY(EOMONTH(DATE(YEAR(TODAY()),MONTH(TODAY())+(DAY(TODAY())&gt;F46),1),0)))))</f>
        <v/>
      </c>
      <c r="N46" s="18" t="n"/>
    </row>
    <row r="47">
      <c r="A47" s="18" t="n"/>
      <c r="B47" s="18" t="n"/>
      <c r="C47" s="18" t="n"/>
      <c r="D47" s="18" t="n"/>
      <c r="E47" s="25" t="n"/>
      <c r="F47" s="18" t="n"/>
      <c r="G47" s="23" t="n"/>
      <c r="H47" s="23" t="n"/>
      <c r="I47" s="18" t="n"/>
      <c r="J47" s="18" t="n"/>
      <c r="K47" s="18" t="n"/>
      <c r="L47" s="23" t="n"/>
      <c r="M47" s="26">
        <f>IF(OR(F47="",J47&lt;&gt;"Yes"),"",DATE(YEAR(TODAY()),MONTH(TODAY())+(DAY(TODAY())&gt;F47),MIN(F47,DAY(EOMONTH(DATE(YEAR(TODAY()),MONTH(TODAY())+(DAY(TODAY())&gt;F47),1),0)))))</f>
        <v/>
      </c>
      <c r="N47" s="18" t="n"/>
    </row>
    <row r="48">
      <c r="A48" s="18" t="n"/>
      <c r="B48" s="18" t="n"/>
      <c r="C48" s="18" t="n"/>
      <c r="D48" s="18" t="n"/>
      <c r="E48" s="25" t="n"/>
      <c r="F48" s="18" t="n"/>
      <c r="G48" s="23" t="n"/>
      <c r="H48" s="23" t="n"/>
      <c r="I48" s="18" t="n"/>
      <c r="J48" s="18" t="n"/>
      <c r="K48" s="18" t="n"/>
      <c r="L48" s="23" t="n"/>
      <c r="M48" s="26">
        <f>IF(OR(F48="",J48&lt;&gt;"Yes"),"",DATE(YEAR(TODAY()),MONTH(TODAY())+(DAY(TODAY())&gt;F48),MIN(F48,DAY(EOMONTH(DATE(YEAR(TODAY()),MONTH(TODAY())+(DAY(TODAY())&gt;F48),1),0)))))</f>
        <v/>
      </c>
      <c r="N48" s="18" t="n"/>
    </row>
    <row r="49">
      <c r="A49" s="18" t="n"/>
      <c r="B49" s="18" t="n"/>
      <c r="C49" s="18" t="n"/>
      <c r="D49" s="18" t="n"/>
      <c r="E49" s="25" t="n"/>
      <c r="F49" s="18" t="n"/>
      <c r="G49" s="23" t="n"/>
      <c r="H49" s="23" t="n"/>
      <c r="I49" s="18" t="n"/>
      <c r="J49" s="18" t="n"/>
      <c r="K49" s="18" t="n"/>
      <c r="L49" s="23" t="n"/>
      <c r="M49" s="26">
        <f>IF(OR(F49="",J49&lt;&gt;"Yes"),"",DATE(YEAR(TODAY()),MONTH(TODAY())+(DAY(TODAY())&gt;F49),MIN(F49,DAY(EOMONTH(DATE(YEAR(TODAY()),MONTH(TODAY())+(DAY(TODAY())&gt;F49),1),0)))))</f>
        <v/>
      </c>
      <c r="N49" s="18" t="n"/>
    </row>
    <row r="50">
      <c r="A50" s="18" t="n"/>
      <c r="B50" s="18" t="n"/>
      <c r="C50" s="18" t="n"/>
      <c r="D50" s="18" t="n"/>
      <c r="E50" s="25" t="n"/>
      <c r="F50" s="18" t="n"/>
      <c r="G50" s="23" t="n"/>
      <c r="H50" s="23" t="n"/>
      <c r="I50" s="18" t="n"/>
      <c r="J50" s="18" t="n"/>
      <c r="K50" s="18" t="n"/>
      <c r="L50" s="23" t="n"/>
      <c r="M50" s="26">
        <f>IF(OR(F50="",J50&lt;&gt;"Yes"),"",DATE(YEAR(TODAY()),MONTH(TODAY())+(DAY(TODAY())&gt;F50),MIN(F50,DAY(EOMONTH(DATE(YEAR(TODAY()),MONTH(TODAY())+(DAY(TODAY())&gt;F50),1),0)))))</f>
        <v/>
      </c>
      <c r="N50" s="18" t="n"/>
    </row>
    <row r="51">
      <c r="A51" s="18" t="n"/>
      <c r="B51" s="18" t="n"/>
      <c r="C51" s="18" t="n"/>
      <c r="D51" s="18" t="n"/>
      <c r="E51" s="25" t="n"/>
      <c r="F51" s="18" t="n"/>
      <c r="G51" s="23" t="n"/>
      <c r="H51" s="23" t="n"/>
      <c r="I51" s="18" t="n"/>
      <c r="J51" s="18" t="n"/>
      <c r="K51" s="18" t="n"/>
      <c r="L51" s="23" t="n"/>
      <c r="M51" s="26">
        <f>IF(OR(F51="",J51&lt;&gt;"Yes"),"",DATE(YEAR(TODAY()),MONTH(TODAY())+(DAY(TODAY())&gt;F51),MIN(F51,DAY(EOMONTH(DATE(YEAR(TODAY()),MONTH(TODAY())+(DAY(TODAY())&gt;F51),1),0)))))</f>
        <v/>
      </c>
      <c r="N51" s="18" t="n"/>
    </row>
    <row r="52">
      <c r="A52" s="18" t="n"/>
      <c r="B52" s="18" t="n"/>
      <c r="C52" s="18" t="n"/>
      <c r="D52" s="18" t="n"/>
      <c r="E52" s="25" t="n"/>
      <c r="F52" s="18" t="n"/>
      <c r="G52" s="23" t="n"/>
      <c r="H52" s="23" t="n"/>
      <c r="I52" s="18" t="n"/>
      <c r="J52" s="18" t="n"/>
      <c r="K52" s="18" t="n"/>
      <c r="L52" s="23" t="n"/>
      <c r="M52" s="26">
        <f>IF(OR(F52="",J52&lt;&gt;"Yes"),"",DATE(YEAR(TODAY()),MONTH(TODAY())+(DAY(TODAY())&gt;F52),MIN(F52,DAY(EOMONTH(DATE(YEAR(TODAY()),MONTH(TODAY())+(DAY(TODAY())&gt;F52),1),0)))))</f>
        <v/>
      </c>
      <c r="N52" s="18" t="n"/>
    </row>
    <row r="53">
      <c r="A53" s="18" t="n"/>
      <c r="B53" s="18" t="n"/>
      <c r="C53" s="18" t="n"/>
      <c r="D53" s="18" t="n"/>
      <c r="E53" s="25" t="n"/>
      <c r="F53" s="18" t="n"/>
      <c r="G53" s="23" t="n"/>
      <c r="H53" s="23" t="n"/>
      <c r="I53" s="18" t="n"/>
      <c r="J53" s="18" t="n"/>
      <c r="K53" s="18" t="n"/>
      <c r="L53" s="23" t="n"/>
      <c r="M53" s="26">
        <f>IF(OR(F53="",J53&lt;&gt;"Yes"),"",DATE(YEAR(TODAY()),MONTH(TODAY())+(DAY(TODAY())&gt;F53),MIN(F53,DAY(EOMONTH(DATE(YEAR(TODAY()),MONTH(TODAY())+(DAY(TODAY())&gt;F53),1),0)))))</f>
        <v/>
      </c>
      <c r="N53" s="18" t="n"/>
    </row>
    <row r="54">
      <c r="A54" s="18" t="n"/>
      <c r="B54" s="18" t="n"/>
      <c r="C54" s="18" t="n"/>
      <c r="D54" s="18" t="n"/>
      <c r="E54" s="25" t="n"/>
      <c r="F54" s="18" t="n"/>
      <c r="G54" s="23" t="n"/>
      <c r="H54" s="23" t="n"/>
      <c r="I54" s="18" t="n"/>
      <c r="J54" s="18" t="n"/>
      <c r="K54" s="18" t="n"/>
      <c r="L54" s="23" t="n"/>
      <c r="M54" s="26">
        <f>IF(OR(F54="",J54&lt;&gt;"Yes"),"",DATE(YEAR(TODAY()),MONTH(TODAY())+(DAY(TODAY())&gt;F54),MIN(F54,DAY(EOMONTH(DATE(YEAR(TODAY()),MONTH(TODAY())+(DAY(TODAY())&gt;F54),1),0)))))</f>
        <v/>
      </c>
      <c r="N54" s="18" t="n"/>
    </row>
    <row r="55">
      <c r="A55" s="18" t="n"/>
      <c r="B55" s="18" t="n"/>
      <c r="C55" s="18" t="n"/>
      <c r="D55" s="18" t="n"/>
      <c r="E55" s="25" t="n"/>
      <c r="F55" s="18" t="n"/>
      <c r="G55" s="23" t="n"/>
      <c r="H55" s="23" t="n"/>
      <c r="I55" s="18" t="n"/>
      <c r="J55" s="18" t="n"/>
      <c r="K55" s="18" t="n"/>
      <c r="L55" s="23" t="n"/>
      <c r="M55" s="26">
        <f>IF(OR(F55="",J55&lt;&gt;"Yes"),"",DATE(YEAR(TODAY()),MONTH(TODAY())+(DAY(TODAY())&gt;F55),MIN(F55,DAY(EOMONTH(DATE(YEAR(TODAY()),MONTH(TODAY())+(DAY(TODAY())&gt;F55),1),0)))))</f>
        <v/>
      </c>
      <c r="N55" s="18" t="n"/>
    </row>
    <row r="56">
      <c r="A56" s="18" t="n"/>
      <c r="B56" s="18" t="n"/>
      <c r="C56" s="18" t="n"/>
      <c r="D56" s="18" t="n"/>
      <c r="E56" s="25" t="n"/>
      <c r="F56" s="18" t="n"/>
      <c r="G56" s="23" t="n"/>
      <c r="H56" s="23" t="n"/>
      <c r="I56" s="18" t="n"/>
      <c r="J56" s="18" t="n"/>
      <c r="K56" s="18" t="n"/>
      <c r="L56" s="23" t="n"/>
      <c r="M56" s="26">
        <f>IF(OR(F56="",J56&lt;&gt;"Yes"),"",DATE(YEAR(TODAY()),MONTH(TODAY())+(DAY(TODAY())&gt;F56),MIN(F56,DAY(EOMONTH(DATE(YEAR(TODAY()),MONTH(TODAY())+(DAY(TODAY())&gt;F56),1),0)))))</f>
        <v/>
      </c>
      <c r="N56" s="18" t="n"/>
    </row>
    <row r="57">
      <c r="A57" s="18" t="n"/>
      <c r="B57" s="18" t="n"/>
      <c r="C57" s="18" t="n"/>
      <c r="D57" s="18" t="n"/>
      <c r="E57" s="25" t="n"/>
      <c r="F57" s="18" t="n"/>
      <c r="G57" s="23" t="n"/>
      <c r="H57" s="23" t="n"/>
      <c r="I57" s="18" t="n"/>
      <c r="J57" s="18" t="n"/>
      <c r="K57" s="18" t="n"/>
      <c r="L57" s="23" t="n"/>
      <c r="M57" s="26">
        <f>IF(OR(F57="",J57&lt;&gt;"Yes"),"",DATE(YEAR(TODAY()),MONTH(TODAY())+(DAY(TODAY())&gt;F57),MIN(F57,DAY(EOMONTH(DATE(YEAR(TODAY()),MONTH(TODAY())+(DAY(TODAY())&gt;F57),1),0)))))</f>
        <v/>
      </c>
      <c r="N57" s="18" t="n"/>
    </row>
    <row r="58">
      <c r="A58" s="18" t="n"/>
      <c r="B58" s="18" t="n"/>
      <c r="C58" s="18" t="n"/>
      <c r="D58" s="18" t="n"/>
      <c r="E58" s="25" t="n"/>
      <c r="F58" s="18" t="n"/>
      <c r="G58" s="23" t="n"/>
      <c r="H58" s="23" t="n"/>
      <c r="I58" s="18" t="n"/>
      <c r="J58" s="18" t="n"/>
      <c r="K58" s="18" t="n"/>
      <c r="L58" s="23" t="n"/>
      <c r="M58" s="26">
        <f>IF(OR(F58="",J58&lt;&gt;"Yes"),"",DATE(YEAR(TODAY()),MONTH(TODAY())+(DAY(TODAY())&gt;F58),MIN(F58,DAY(EOMONTH(DATE(YEAR(TODAY()),MONTH(TODAY())+(DAY(TODAY())&gt;F58),1),0)))))</f>
        <v/>
      </c>
      <c r="N58" s="18" t="n"/>
    </row>
    <row r="59">
      <c r="A59" s="18" t="n"/>
      <c r="B59" s="18" t="n"/>
      <c r="C59" s="18" t="n"/>
      <c r="D59" s="18" t="n"/>
      <c r="E59" s="25" t="n"/>
      <c r="F59" s="18" t="n"/>
      <c r="G59" s="23" t="n"/>
      <c r="H59" s="23" t="n"/>
      <c r="I59" s="18" t="n"/>
      <c r="J59" s="18" t="n"/>
      <c r="K59" s="18" t="n"/>
      <c r="L59" s="23" t="n"/>
      <c r="M59" s="26">
        <f>IF(OR(F59="",J59&lt;&gt;"Yes"),"",DATE(YEAR(TODAY()),MONTH(TODAY())+(DAY(TODAY())&gt;F59),MIN(F59,DAY(EOMONTH(DATE(YEAR(TODAY()),MONTH(TODAY())+(DAY(TODAY())&gt;F59),1),0)))))</f>
        <v/>
      </c>
      <c r="N59" s="18" t="n"/>
    </row>
    <row r="60">
      <c r="A60" s="18" t="n"/>
      <c r="B60" s="18" t="n"/>
      <c r="C60" s="18" t="n"/>
      <c r="D60" s="18" t="n"/>
      <c r="E60" s="25" t="n"/>
      <c r="F60" s="18" t="n"/>
      <c r="G60" s="23" t="n"/>
      <c r="H60" s="23" t="n"/>
      <c r="I60" s="18" t="n"/>
      <c r="J60" s="18" t="n"/>
      <c r="K60" s="18" t="n"/>
      <c r="L60" s="23" t="n"/>
      <c r="M60" s="26">
        <f>IF(OR(F60="",J60&lt;&gt;"Yes"),"",DATE(YEAR(TODAY()),MONTH(TODAY())+(DAY(TODAY())&gt;F60),MIN(F60,DAY(EOMONTH(DATE(YEAR(TODAY()),MONTH(TODAY())+(DAY(TODAY())&gt;F60),1),0)))))</f>
        <v/>
      </c>
      <c r="N60" s="18" t="n"/>
    </row>
    <row r="61">
      <c r="A61" s="18" t="n"/>
      <c r="B61" s="18" t="n"/>
      <c r="C61" s="18" t="n"/>
      <c r="D61" s="18" t="n"/>
      <c r="E61" s="25" t="n"/>
      <c r="F61" s="18" t="n"/>
      <c r="G61" s="23" t="n"/>
      <c r="H61" s="23" t="n"/>
      <c r="I61" s="18" t="n"/>
      <c r="J61" s="18" t="n"/>
      <c r="K61" s="18" t="n"/>
      <c r="L61" s="23" t="n"/>
      <c r="M61" s="26">
        <f>IF(OR(F61="",J61&lt;&gt;"Yes"),"",DATE(YEAR(TODAY()),MONTH(TODAY())+(DAY(TODAY())&gt;F61),MIN(F61,DAY(EOMONTH(DATE(YEAR(TODAY()),MONTH(TODAY())+(DAY(TODAY())&gt;F61),1),0)))))</f>
        <v/>
      </c>
      <c r="N61" s="18" t="n"/>
    </row>
    <row r="62">
      <c r="A62" s="18" t="n"/>
      <c r="B62" s="18" t="n"/>
      <c r="C62" s="18" t="n"/>
      <c r="D62" s="18" t="n"/>
      <c r="E62" s="25" t="n"/>
      <c r="F62" s="18" t="n"/>
      <c r="G62" s="23" t="n"/>
      <c r="H62" s="23" t="n"/>
      <c r="I62" s="18" t="n"/>
      <c r="J62" s="18" t="n"/>
      <c r="K62" s="18" t="n"/>
      <c r="L62" s="23" t="n"/>
      <c r="M62" s="26">
        <f>IF(OR(F62="",J62&lt;&gt;"Yes"),"",DATE(YEAR(TODAY()),MONTH(TODAY())+(DAY(TODAY())&gt;F62),MIN(F62,DAY(EOMONTH(DATE(YEAR(TODAY()),MONTH(TODAY())+(DAY(TODAY())&gt;F62),1),0)))))</f>
        <v/>
      </c>
      <c r="N62" s="18" t="n"/>
    </row>
    <row r="63">
      <c r="A63" s="18" t="n"/>
      <c r="B63" s="18" t="n"/>
      <c r="C63" s="18" t="n"/>
      <c r="D63" s="18" t="n"/>
      <c r="E63" s="25" t="n"/>
      <c r="F63" s="18" t="n"/>
      <c r="G63" s="23" t="n"/>
      <c r="H63" s="23" t="n"/>
      <c r="I63" s="18" t="n"/>
      <c r="J63" s="18" t="n"/>
      <c r="K63" s="18" t="n"/>
      <c r="L63" s="23" t="n"/>
      <c r="M63" s="26">
        <f>IF(OR(F63="",J63&lt;&gt;"Yes"),"",DATE(YEAR(TODAY()),MONTH(TODAY())+(DAY(TODAY())&gt;F63),MIN(F63,DAY(EOMONTH(DATE(YEAR(TODAY()),MONTH(TODAY())+(DAY(TODAY())&gt;F63),1),0)))))</f>
        <v/>
      </c>
      <c r="N63" s="18" t="n"/>
    </row>
    <row r="64">
      <c r="A64" s="18" t="n"/>
      <c r="B64" s="18" t="n"/>
      <c r="C64" s="18" t="n"/>
      <c r="D64" s="18" t="n"/>
      <c r="E64" s="25" t="n"/>
      <c r="F64" s="18" t="n"/>
      <c r="G64" s="23" t="n"/>
      <c r="H64" s="23" t="n"/>
      <c r="I64" s="18" t="n"/>
      <c r="J64" s="18" t="n"/>
      <c r="K64" s="18" t="n"/>
      <c r="L64" s="23" t="n"/>
      <c r="M64" s="26">
        <f>IF(OR(F64="",J64&lt;&gt;"Yes"),"",DATE(YEAR(TODAY()),MONTH(TODAY())+(DAY(TODAY())&gt;F64),MIN(F64,DAY(EOMONTH(DATE(YEAR(TODAY()),MONTH(TODAY())+(DAY(TODAY())&gt;F64),1),0)))))</f>
        <v/>
      </c>
      <c r="N64" s="18" t="n"/>
    </row>
    <row r="65">
      <c r="A65" s="18" t="n"/>
      <c r="B65" s="18" t="n"/>
      <c r="C65" s="18" t="n"/>
      <c r="D65" s="18" t="n"/>
      <c r="E65" s="25" t="n"/>
      <c r="F65" s="18" t="n"/>
      <c r="G65" s="23" t="n"/>
      <c r="H65" s="23" t="n"/>
      <c r="I65" s="18" t="n"/>
      <c r="J65" s="18" t="n"/>
      <c r="K65" s="18" t="n"/>
      <c r="L65" s="23" t="n"/>
      <c r="M65" s="26">
        <f>IF(OR(F65="",J65&lt;&gt;"Yes"),"",DATE(YEAR(TODAY()),MONTH(TODAY())+(DAY(TODAY())&gt;F65),MIN(F65,DAY(EOMONTH(DATE(YEAR(TODAY()),MONTH(TODAY())+(DAY(TODAY())&gt;F65),1),0)))))</f>
        <v/>
      </c>
      <c r="N65" s="18" t="n"/>
    </row>
    <row r="66">
      <c r="A66" s="18" t="n"/>
      <c r="B66" s="18" t="n"/>
      <c r="C66" s="18" t="n"/>
      <c r="D66" s="18" t="n"/>
      <c r="E66" s="25" t="n"/>
      <c r="F66" s="18" t="n"/>
      <c r="G66" s="23" t="n"/>
      <c r="H66" s="23" t="n"/>
      <c r="I66" s="18" t="n"/>
      <c r="J66" s="18" t="n"/>
      <c r="K66" s="18" t="n"/>
      <c r="L66" s="23" t="n"/>
      <c r="M66" s="26">
        <f>IF(OR(F66="",J66&lt;&gt;"Yes"),"",DATE(YEAR(TODAY()),MONTH(TODAY())+(DAY(TODAY())&gt;F66),MIN(F66,DAY(EOMONTH(DATE(YEAR(TODAY()),MONTH(TODAY())+(DAY(TODAY())&gt;F66),1),0)))))</f>
        <v/>
      </c>
      <c r="N66" s="18" t="n"/>
    </row>
    <row r="67">
      <c r="A67" s="18" t="n"/>
      <c r="B67" s="18" t="n"/>
      <c r="C67" s="18" t="n"/>
      <c r="D67" s="18" t="n"/>
      <c r="E67" s="25" t="n"/>
      <c r="F67" s="18" t="n"/>
      <c r="G67" s="23" t="n"/>
      <c r="H67" s="23" t="n"/>
      <c r="I67" s="18" t="n"/>
      <c r="J67" s="18" t="n"/>
      <c r="K67" s="18" t="n"/>
      <c r="L67" s="23" t="n"/>
      <c r="M67" s="26">
        <f>IF(OR(F67="",J67&lt;&gt;"Yes"),"",DATE(YEAR(TODAY()),MONTH(TODAY())+(DAY(TODAY())&gt;F67),MIN(F67,DAY(EOMONTH(DATE(YEAR(TODAY()),MONTH(TODAY())+(DAY(TODAY())&gt;F67),1),0)))))</f>
        <v/>
      </c>
      <c r="N67" s="18" t="n"/>
    </row>
    <row r="68">
      <c r="A68" s="18" t="n"/>
      <c r="B68" s="18" t="n"/>
      <c r="C68" s="18" t="n"/>
      <c r="D68" s="18" t="n"/>
      <c r="E68" s="25" t="n"/>
      <c r="F68" s="18" t="n"/>
      <c r="G68" s="23" t="n"/>
      <c r="H68" s="23" t="n"/>
      <c r="I68" s="18" t="n"/>
      <c r="J68" s="18" t="n"/>
      <c r="K68" s="18" t="n"/>
      <c r="L68" s="23" t="n"/>
      <c r="M68" s="26">
        <f>IF(OR(F68="",J68&lt;&gt;"Yes"),"",DATE(YEAR(TODAY()),MONTH(TODAY())+(DAY(TODAY())&gt;F68),MIN(F68,DAY(EOMONTH(DATE(YEAR(TODAY()),MONTH(TODAY())+(DAY(TODAY())&gt;F68),1),0)))))</f>
        <v/>
      </c>
      <c r="N68" s="18" t="n"/>
    </row>
    <row r="69">
      <c r="A69" s="18" t="n"/>
      <c r="B69" s="18" t="n"/>
      <c r="C69" s="18" t="n"/>
      <c r="D69" s="18" t="n"/>
      <c r="E69" s="25" t="n"/>
      <c r="F69" s="18" t="n"/>
      <c r="G69" s="23" t="n"/>
      <c r="H69" s="23" t="n"/>
      <c r="I69" s="18" t="n"/>
      <c r="J69" s="18" t="n"/>
      <c r="K69" s="18" t="n"/>
      <c r="L69" s="23" t="n"/>
      <c r="M69" s="26">
        <f>IF(OR(F69="",J69&lt;&gt;"Yes"),"",DATE(YEAR(TODAY()),MONTH(TODAY())+(DAY(TODAY())&gt;F69),MIN(F69,DAY(EOMONTH(DATE(YEAR(TODAY()),MONTH(TODAY())+(DAY(TODAY())&gt;F69),1),0)))))</f>
        <v/>
      </c>
      <c r="N69" s="18" t="n"/>
    </row>
    <row r="70">
      <c r="A70" s="18" t="n"/>
      <c r="B70" s="18" t="n"/>
      <c r="C70" s="18" t="n"/>
      <c r="D70" s="18" t="n"/>
      <c r="E70" s="25" t="n"/>
      <c r="F70" s="18" t="n"/>
      <c r="G70" s="23" t="n"/>
      <c r="H70" s="23" t="n"/>
      <c r="I70" s="18" t="n"/>
      <c r="J70" s="18" t="n"/>
      <c r="K70" s="18" t="n"/>
      <c r="L70" s="23" t="n"/>
      <c r="M70" s="26">
        <f>IF(OR(F70="",J70&lt;&gt;"Yes"),"",DATE(YEAR(TODAY()),MONTH(TODAY())+(DAY(TODAY())&gt;F70),MIN(F70,DAY(EOMONTH(DATE(YEAR(TODAY()),MONTH(TODAY())+(DAY(TODAY())&gt;F70),1),0)))))</f>
        <v/>
      </c>
      <c r="N70" s="18" t="n"/>
    </row>
    <row r="71">
      <c r="A71" s="18" t="n"/>
      <c r="B71" s="18" t="n"/>
      <c r="C71" s="18" t="n"/>
      <c r="D71" s="18" t="n"/>
      <c r="E71" s="25" t="n"/>
      <c r="F71" s="18" t="n"/>
      <c r="G71" s="23" t="n"/>
      <c r="H71" s="23" t="n"/>
      <c r="I71" s="18" t="n"/>
      <c r="J71" s="18" t="n"/>
      <c r="K71" s="18" t="n"/>
      <c r="L71" s="23" t="n"/>
      <c r="M71" s="26">
        <f>IF(OR(F71="",J71&lt;&gt;"Yes"),"",DATE(YEAR(TODAY()),MONTH(TODAY())+(DAY(TODAY())&gt;F71),MIN(F71,DAY(EOMONTH(DATE(YEAR(TODAY()),MONTH(TODAY())+(DAY(TODAY())&gt;F71),1),0)))))</f>
        <v/>
      </c>
      <c r="N71" s="18" t="n"/>
    </row>
    <row r="72">
      <c r="A72" s="18" t="n"/>
      <c r="B72" s="18" t="n"/>
      <c r="C72" s="18" t="n"/>
      <c r="D72" s="18" t="n"/>
      <c r="E72" s="25" t="n"/>
      <c r="F72" s="18" t="n"/>
      <c r="G72" s="23" t="n"/>
      <c r="H72" s="23" t="n"/>
      <c r="I72" s="18" t="n"/>
      <c r="J72" s="18" t="n"/>
      <c r="K72" s="18" t="n"/>
      <c r="L72" s="23" t="n"/>
      <c r="M72" s="26">
        <f>IF(OR(F72="",J72&lt;&gt;"Yes"),"",DATE(YEAR(TODAY()),MONTH(TODAY())+(DAY(TODAY())&gt;F72),MIN(F72,DAY(EOMONTH(DATE(YEAR(TODAY()),MONTH(TODAY())+(DAY(TODAY())&gt;F72),1),0)))))</f>
        <v/>
      </c>
      <c r="N72" s="18" t="n"/>
    </row>
    <row r="73">
      <c r="A73" s="18" t="n"/>
      <c r="B73" s="18" t="n"/>
      <c r="C73" s="18" t="n"/>
      <c r="D73" s="18" t="n"/>
      <c r="E73" s="25" t="n"/>
      <c r="F73" s="18" t="n"/>
      <c r="G73" s="23" t="n"/>
      <c r="H73" s="23" t="n"/>
      <c r="I73" s="18" t="n"/>
      <c r="J73" s="18" t="n"/>
      <c r="K73" s="18" t="n"/>
      <c r="L73" s="23" t="n"/>
      <c r="M73" s="26">
        <f>IF(OR(F73="",J73&lt;&gt;"Yes"),"",DATE(YEAR(TODAY()),MONTH(TODAY())+(DAY(TODAY())&gt;F73),MIN(F73,DAY(EOMONTH(DATE(YEAR(TODAY()),MONTH(TODAY())+(DAY(TODAY())&gt;F73),1),0)))))</f>
        <v/>
      </c>
      <c r="N73" s="18" t="n"/>
    </row>
    <row r="74">
      <c r="A74" s="18" t="n"/>
      <c r="B74" s="18" t="n"/>
      <c r="C74" s="18" t="n"/>
      <c r="D74" s="18" t="n"/>
      <c r="E74" s="25" t="n"/>
      <c r="F74" s="18" t="n"/>
      <c r="G74" s="23" t="n"/>
      <c r="H74" s="23" t="n"/>
      <c r="I74" s="18" t="n"/>
      <c r="J74" s="18" t="n"/>
      <c r="K74" s="18" t="n"/>
      <c r="L74" s="23" t="n"/>
      <c r="M74" s="26">
        <f>IF(OR(F74="",J74&lt;&gt;"Yes"),"",DATE(YEAR(TODAY()),MONTH(TODAY())+(DAY(TODAY())&gt;F74),MIN(F74,DAY(EOMONTH(DATE(YEAR(TODAY()),MONTH(TODAY())+(DAY(TODAY())&gt;F74),1),0)))))</f>
        <v/>
      </c>
      <c r="N74" s="18" t="n"/>
    </row>
    <row r="75">
      <c r="A75" s="18" t="n"/>
      <c r="B75" s="18" t="n"/>
      <c r="C75" s="18" t="n"/>
      <c r="D75" s="18" t="n"/>
      <c r="E75" s="25" t="n"/>
      <c r="F75" s="18" t="n"/>
      <c r="G75" s="23" t="n"/>
      <c r="H75" s="23" t="n"/>
      <c r="I75" s="18" t="n"/>
      <c r="J75" s="18" t="n"/>
      <c r="K75" s="18" t="n"/>
      <c r="L75" s="23" t="n"/>
      <c r="M75" s="26">
        <f>IF(OR(F75="",J75&lt;&gt;"Yes"),"",DATE(YEAR(TODAY()),MONTH(TODAY())+(DAY(TODAY())&gt;F75),MIN(F75,DAY(EOMONTH(DATE(YEAR(TODAY()),MONTH(TODAY())+(DAY(TODAY())&gt;F75),1),0)))))</f>
        <v/>
      </c>
      <c r="N75" s="18" t="n"/>
    </row>
    <row r="76">
      <c r="A76" s="18" t="n"/>
      <c r="B76" s="18" t="n"/>
      <c r="C76" s="18" t="n"/>
      <c r="D76" s="18" t="n"/>
      <c r="E76" s="25" t="n"/>
      <c r="F76" s="18" t="n"/>
      <c r="G76" s="23" t="n"/>
      <c r="H76" s="23" t="n"/>
      <c r="I76" s="18" t="n"/>
      <c r="J76" s="18" t="n"/>
      <c r="K76" s="18" t="n"/>
      <c r="L76" s="23" t="n"/>
      <c r="M76" s="26">
        <f>IF(OR(F76="",J76&lt;&gt;"Yes"),"",DATE(YEAR(TODAY()),MONTH(TODAY())+(DAY(TODAY())&gt;F76),MIN(F76,DAY(EOMONTH(DATE(YEAR(TODAY()),MONTH(TODAY())+(DAY(TODAY())&gt;F76),1),0)))))</f>
        <v/>
      </c>
      <c r="N76" s="18" t="n"/>
    </row>
    <row r="77">
      <c r="A77" s="18" t="n"/>
      <c r="B77" s="18" t="n"/>
      <c r="C77" s="18" t="n"/>
      <c r="D77" s="18" t="n"/>
      <c r="E77" s="25" t="n"/>
      <c r="F77" s="18" t="n"/>
      <c r="G77" s="23" t="n"/>
      <c r="H77" s="23" t="n"/>
      <c r="I77" s="18" t="n"/>
      <c r="J77" s="18" t="n"/>
      <c r="K77" s="18" t="n"/>
      <c r="L77" s="23" t="n"/>
      <c r="M77" s="26">
        <f>IF(OR(F77="",J77&lt;&gt;"Yes"),"",DATE(YEAR(TODAY()),MONTH(TODAY())+(DAY(TODAY())&gt;F77),MIN(F77,DAY(EOMONTH(DATE(YEAR(TODAY()),MONTH(TODAY())+(DAY(TODAY())&gt;F77),1),0)))))</f>
        <v/>
      </c>
      <c r="N77" s="18" t="n"/>
    </row>
    <row r="78">
      <c r="A78" s="18" t="n"/>
      <c r="B78" s="18" t="n"/>
      <c r="C78" s="18" t="n"/>
      <c r="D78" s="18" t="n"/>
      <c r="E78" s="25" t="n"/>
      <c r="F78" s="18" t="n"/>
      <c r="G78" s="23" t="n"/>
      <c r="H78" s="23" t="n"/>
      <c r="I78" s="18" t="n"/>
      <c r="J78" s="18" t="n"/>
      <c r="K78" s="18" t="n"/>
      <c r="L78" s="23" t="n"/>
      <c r="M78" s="26">
        <f>IF(OR(F78="",J78&lt;&gt;"Yes"),"",DATE(YEAR(TODAY()),MONTH(TODAY())+(DAY(TODAY())&gt;F78),MIN(F78,DAY(EOMONTH(DATE(YEAR(TODAY()),MONTH(TODAY())+(DAY(TODAY())&gt;F78),1),0)))))</f>
        <v/>
      </c>
      <c r="N78" s="18" t="n"/>
    </row>
    <row r="79">
      <c r="A79" s="18" t="n"/>
      <c r="B79" s="18" t="n"/>
      <c r="C79" s="18" t="n"/>
      <c r="D79" s="18" t="n"/>
      <c r="E79" s="25" t="n"/>
      <c r="F79" s="18" t="n"/>
      <c r="G79" s="23" t="n"/>
      <c r="H79" s="23" t="n"/>
      <c r="I79" s="18" t="n"/>
      <c r="J79" s="18" t="n"/>
      <c r="K79" s="18" t="n"/>
      <c r="L79" s="23" t="n"/>
      <c r="M79" s="26">
        <f>IF(OR(F79="",J79&lt;&gt;"Yes"),"",DATE(YEAR(TODAY()),MONTH(TODAY())+(DAY(TODAY())&gt;F79),MIN(F79,DAY(EOMONTH(DATE(YEAR(TODAY()),MONTH(TODAY())+(DAY(TODAY())&gt;F79),1),0)))))</f>
        <v/>
      </c>
      <c r="N79" s="18" t="n"/>
    </row>
    <row r="80">
      <c r="A80" s="18" t="n"/>
      <c r="B80" s="18" t="n"/>
      <c r="C80" s="18" t="n"/>
      <c r="D80" s="18" t="n"/>
      <c r="E80" s="25" t="n"/>
      <c r="F80" s="18" t="n"/>
      <c r="G80" s="23" t="n"/>
      <c r="H80" s="23" t="n"/>
      <c r="I80" s="18" t="n"/>
      <c r="J80" s="18" t="n"/>
      <c r="K80" s="18" t="n"/>
      <c r="L80" s="23" t="n"/>
      <c r="M80" s="26">
        <f>IF(OR(F80="",J80&lt;&gt;"Yes"),"",DATE(YEAR(TODAY()),MONTH(TODAY())+(DAY(TODAY())&gt;F80),MIN(F80,DAY(EOMONTH(DATE(YEAR(TODAY()),MONTH(TODAY())+(DAY(TODAY())&gt;F80),1),0)))))</f>
        <v/>
      </c>
      <c r="N80" s="18" t="n"/>
    </row>
    <row r="81">
      <c r="A81" s="18" t="n"/>
      <c r="B81" s="18" t="n"/>
      <c r="C81" s="18" t="n"/>
      <c r="D81" s="18" t="n"/>
      <c r="E81" s="25" t="n"/>
      <c r="F81" s="18" t="n"/>
      <c r="G81" s="23" t="n"/>
      <c r="H81" s="23" t="n"/>
      <c r="I81" s="18" t="n"/>
      <c r="J81" s="18" t="n"/>
      <c r="K81" s="18" t="n"/>
      <c r="L81" s="23" t="n"/>
      <c r="M81" s="26">
        <f>IF(OR(F81="",J81&lt;&gt;"Yes"),"",DATE(YEAR(TODAY()),MONTH(TODAY())+(DAY(TODAY())&gt;F81),MIN(F81,DAY(EOMONTH(DATE(YEAR(TODAY()),MONTH(TODAY())+(DAY(TODAY())&gt;F81),1),0)))))</f>
        <v/>
      </c>
      <c r="N81" s="18" t="n"/>
    </row>
    <row r="82">
      <c r="A82" s="18" t="n"/>
      <c r="B82" s="18" t="n"/>
      <c r="C82" s="18" t="n"/>
      <c r="D82" s="18" t="n"/>
      <c r="E82" s="25" t="n"/>
      <c r="F82" s="18" t="n"/>
      <c r="G82" s="23" t="n"/>
      <c r="H82" s="23" t="n"/>
      <c r="I82" s="18" t="n"/>
      <c r="J82" s="18" t="n"/>
      <c r="K82" s="18" t="n"/>
      <c r="L82" s="23" t="n"/>
      <c r="M82" s="26">
        <f>IF(OR(F82="",J82&lt;&gt;"Yes"),"",DATE(YEAR(TODAY()),MONTH(TODAY())+(DAY(TODAY())&gt;F82),MIN(F82,DAY(EOMONTH(DATE(YEAR(TODAY()),MONTH(TODAY())+(DAY(TODAY())&gt;F82),1),0)))))</f>
        <v/>
      </c>
      <c r="N82" s="18" t="n"/>
    </row>
    <row r="83">
      <c r="A83" s="18" t="n"/>
      <c r="B83" s="18" t="n"/>
      <c r="C83" s="18" t="n"/>
      <c r="D83" s="18" t="n"/>
      <c r="E83" s="25" t="n"/>
      <c r="F83" s="18" t="n"/>
      <c r="G83" s="23" t="n"/>
      <c r="H83" s="23" t="n"/>
      <c r="I83" s="18" t="n"/>
      <c r="J83" s="18" t="n"/>
      <c r="K83" s="18" t="n"/>
      <c r="L83" s="23" t="n"/>
      <c r="M83" s="26">
        <f>IF(OR(F83="",J83&lt;&gt;"Yes"),"",DATE(YEAR(TODAY()),MONTH(TODAY())+(DAY(TODAY())&gt;F83),MIN(F83,DAY(EOMONTH(DATE(YEAR(TODAY()),MONTH(TODAY())+(DAY(TODAY())&gt;F83),1),0)))))</f>
        <v/>
      </c>
      <c r="N83" s="18" t="n"/>
    </row>
    <row r="84">
      <c r="A84" s="18" t="n"/>
      <c r="B84" s="18" t="n"/>
      <c r="C84" s="18" t="n"/>
      <c r="D84" s="18" t="n"/>
      <c r="E84" s="25" t="n"/>
      <c r="F84" s="18" t="n"/>
      <c r="G84" s="23" t="n"/>
      <c r="H84" s="23" t="n"/>
      <c r="I84" s="18" t="n"/>
      <c r="J84" s="18" t="n"/>
      <c r="K84" s="18" t="n"/>
      <c r="L84" s="23" t="n"/>
      <c r="M84" s="26">
        <f>IF(OR(F84="",J84&lt;&gt;"Yes"),"",DATE(YEAR(TODAY()),MONTH(TODAY())+(DAY(TODAY())&gt;F84),MIN(F84,DAY(EOMONTH(DATE(YEAR(TODAY()),MONTH(TODAY())+(DAY(TODAY())&gt;F84),1),0)))))</f>
        <v/>
      </c>
      <c r="N84" s="18" t="n"/>
    </row>
    <row r="85">
      <c r="A85" s="18" t="n"/>
      <c r="B85" s="18" t="n"/>
      <c r="C85" s="18" t="n"/>
      <c r="D85" s="18" t="n"/>
      <c r="E85" s="25" t="n"/>
      <c r="F85" s="18" t="n"/>
      <c r="G85" s="23" t="n"/>
      <c r="H85" s="23" t="n"/>
      <c r="I85" s="18" t="n"/>
      <c r="J85" s="18" t="n"/>
      <c r="K85" s="18" t="n"/>
      <c r="L85" s="23" t="n"/>
      <c r="M85" s="26">
        <f>IF(OR(F85="",J85&lt;&gt;"Yes"),"",DATE(YEAR(TODAY()),MONTH(TODAY())+(DAY(TODAY())&gt;F85),MIN(F85,DAY(EOMONTH(DATE(YEAR(TODAY()),MONTH(TODAY())+(DAY(TODAY())&gt;F85),1),0)))))</f>
        <v/>
      </c>
      <c r="N85" s="18" t="n"/>
    </row>
    <row r="86">
      <c r="A86" s="18" t="n"/>
      <c r="B86" s="18" t="n"/>
      <c r="C86" s="18" t="n"/>
      <c r="D86" s="18" t="n"/>
      <c r="E86" s="25" t="n"/>
      <c r="F86" s="18" t="n"/>
      <c r="G86" s="23" t="n"/>
      <c r="H86" s="23" t="n"/>
      <c r="I86" s="18" t="n"/>
      <c r="J86" s="18" t="n"/>
      <c r="K86" s="18" t="n"/>
      <c r="L86" s="23" t="n"/>
      <c r="M86" s="26">
        <f>IF(OR(F86="",J86&lt;&gt;"Yes"),"",DATE(YEAR(TODAY()),MONTH(TODAY())+(DAY(TODAY())&gt;F86),MIN(F86,DAY(EOMONTH(DATE(YEAR(TODAY()),MONTH(TODAY())+(DAY(TODAY())&gt;F86),1),0)))))</f>
        <v/>
      </c>
      <c r="N86" s="18" t="n"/>
    </row>
    <row r="87">
      <c r="A87" s="18" t="n"/>
      <c r="B87" s="18" t="n"/>
      <c r="C87" s="18" t="n"/>
      <c r="D87" s="18" t="n"/>
      <c r="E87" s="25" t="n"/>
      <c r="F87" s="18" t="n"/>
      <c r="G87" s="23" t="n"/>
      <c r="H87" s="23" t="n"/>
      <c r="I87" s="18" t="n"/>
      <c r="J87" s="18" t="n"/>
      <c r="K87" s="18" t="n"/>
      <c r="L87" s="23" t="n"/>
      <c r="M87" s="26">
        <f>IF(OR(F87="",J87&lt;&gt;"Yes"),"",DATE(YEAR(TODAY()),MONTH(TODAY())+(DAY(TODAY())&gt;F87),MIN(F87,DAY(EOMONTH(DATE(YEAR(TODAY()),MONTH(TODAY())+(DAY(TODAY())&gt;F87),1),0)))))</f>
        <v/>
      </c>
      <c r="N87" s="18" t="n"/>
    </row>
    <row r="88">
      <c r="A88" s="18" t="n"/>
      <c r="B88" s="18" t="n"/>
      <c r="C88" s="18" t="n"/>
      <c r="D88" s="18" t="n"/>
      <c r="E88" s="25" t="n"/>
      <c r="F88" s="18" t="n"/>
      <c r="G88" s="23" t="n"/>
      <c r="H88" s="23" t="n"/>
      <c r="I88" s="18" t="n"/>
      <c r="J88" s="18" t="n"/>
      <c r="K88" s="18" t="n"/>
      <c r="L88" s="23" t="n"/>
      <c r="M88" s="26">
        <f>IF(OR(F88="",J88&lt;&gt;"Yes"),"",DATE(YEAR(TODAY()),MONTH(TODAY())+(DAY(TODAY())&gt;F88),MIN(F88,DAY(EOMONTH(DATE(YEAR(TODAY()),MONTH(TODAY())+(DAY(TODAY())&gt;F88),1),0)))))</f>
        <v/>
      </c>
      <c r="N88" s="18" t="n"/>
    </row>
    <row r="89">
      <c r="A89" s="18" t="n"/>
      <c r="B89" s="18" t="n"/>
      <c r="C89" s="18" t="n"/>
      <c r="D89" s="18" t="n"/>
      <c r="E89" s="25" t="n"/>
      <c r="F89" s="18" t="n"/>
      <c r="G89" s="23" t="n"/>
      <c r="H89" s="23" t="n"/>
      <c r="I89" s="18" t="n"/>
      <c r="J89" s="18" t="n"/>
      <c r="K89" s="18" t="n"/>
      <c r="L89" s="23" t="n"/>
      <c r="M89" s="26">
        <f>IF(OR(F89="",J89&lt;&gt;"Yes"),"",DATE(YEAR(TODAY()),MONTH(TODAY())+(DAY(TODAY())&gt;F89),MIN(F89,DAY(EOMONTH(DATE(YEAR(TODAY()),MONTH(TODAY())+(DAY(TODAY())&gt;F89),1),0)))))</f>
        <v/>
      </c>
      <c r="N89" s="18" t="n"/>
    </row>
    <row r="90">
      <c r="A90" s="18" t="n"/>
      <c r="B90" s="18" t="n"/>
      <c r="C90" s="18" t="n"/>
      <c r="D90" s="18" t="n"/>
      <c r="E90" s="25" t="n"/>
      <c r="F90" s="18" t="n"/>
      <c r="G90" s="23" t="n"/>
      <c r="H90" s="23" t="n"/>
      <c r="I90" s="18" t="n"/>
      <c r="J90" s="18" t="n"/>
      <c r="K90" s="18" t="n"/>
      <c r="L90" s="23" t="n"/>
      <c r="M90" s="26">
        <f>IF(OR(F90="",J90&lt;&gt;"Yes"),"",DATE(YEAR(TODAY()),MONTH(TODAY())+(DAY(TODAY())&gt;F90),MIN(F90,DAY(EOMONTH(DATE(YEAR(TODAY()),MONTH(TODAY())+(DAY(TODAY())&gt;F90),1),0)))))</f>
        <v/>
      </c>
      <c r="N90" s="18" t="n"/>
    </row>
    <row r="91">
      <c r="A91" s="18" t="n"/>
      <c r="B91" s="18" t="n"/>
      <c r="C91" s="18" t="n"/>
      <c r="D91" s="18" t="n"/>
      <c r="E91" s="25" t="n"/>
      <c r="F91" s="18" t="n"/>
      <c r="G91" s="23" t="n"/>
      <c r="H91" s="23" t="n"/>
      <c r="I91" s="18" t="n"/>
      <c r="J91" s="18" t="n"/>
      <c r="K91" s="18" t="n"/>
      <c r="L91" s="23" t="n"/>
      <c r="M91" s="26">
        <f>IF(OR(F91="",J91&lt;&gt;"Yes"),"",DATE(YEAR(TODAY()),MONTH(TODAY())+(DAY(TODAY())&gt;F91),MIN(F91,DAY(EOMONTH(DATE(YEAR(TODAY()),MONTH(TODAY())+(DAY(TODAY())&gt;F91),1),0)))))</f>
        <v/>
      </c>
      <c r="N91" s="18" t="n"/>
    </row>
    <row r="92">
      <c r="A92" s="18" t="n"/>
      <c r="B92" s="18" t="n"/>
      <c r="C92" s="18" t="n"/>
      <c r="D92" s="18" t="n"/>
      <c r="E92" s="25" t="n"/>
      <c r="F92" s="18" t="n"/>
      <c r="G92" s="23" t="n"/>
      <c r="H92" s="23" t="n"/>
      <c r="I92" s="18" t="n"/>
      <c r="J92" s="18" t="n"/>
      <c r="K92" s="18" t="n"/>
      <c r="L92" s="23" t="n"/>
      <c r="M92" s="26">
        <f>IF(OR(F92="",J92&lt;&gt;"Yes"),"",DATE(YEAR(TODAY()),MONTH(TODAY())+(DAY(TODAY())&gt;F92),MIN(F92,DAY(EOMONTH(DATE(YEAR(TODAY()),MONTH(TODAY())+(DAY(TODAY())&gt;F92),1),0)))))</f>
        <v/>
      </c>
      <c r="N92" s="18" t="n"/>
    </row>
    <row r="93">
      <c r="A93" s="18" t="n"/>
      <c r="B93" s="18" t="n"/>
      <c r="C93" s="18" t="n"/>
      <c r="D93" s="18" t="n"/>
      <c r="E93" s="25" t="n"/>
      <c r="F93" s="18" t="n"/>
      <c r="G93" s="23" t="n"/>
      <c r="H93" s="23" t="n"/>
      <c r="I93" s="18" t="n"/>
      <c r="J93" s="18" t="n"/>
      <c r="K93" s="18" t="n"/>
      <c r="L93" s="23" t="n"/>
      <c r="M93" s="26">
        <f>IF(OR(F93="",J93&lt;&gt;"Yes"),"",DATE(YEAR(TODAY()),MONTH(TODAY())+(DAY(TODAY())&gt;F93),MIN(F93,DAY(EOMONTH(DATE(YEAR(TODAY()),MONTH(TODAY())+(DAY(TODAY())&gt;F93),1),0)))))</f>
        <v/>
      </c>
      <c r="N93" s="18" t="n"/>
    </row>
    <row r="94">
      <c r="A94" s="18" t="n"/>
      <c r="B94" s="18" t="n"/>
      <c r="C94" s="18" t="n"/>
      <c r="D94" s="18" t="n"/>
      <c r="E94" s="25" t="n"/>
      <c r="F94" s="18" t="n"/>
      <c r="G94" s="23" t="n"/>
      <c r="H94" s="23" t="n"/>
      <c r="I94" s="18" t="n"/>
      <c r="J94" s="18" t="n"/>
      <c r="K94" s="18" t="n"/>
      <c r="L94" s="23" t="n"/>
      <c r="M94" s="26">
        <f>IF(OR(F94="",J94&lt;&gt;"Yes"),"",DATE(YEAR(TODAY()),MONTH(TODAY())+(DAY(TODAY())&gt;F94),MIN(F94,DAY(EOMONTH(DATE(YEAR(TODAY()),MONTH(TODAY())+(DAY(TODAY())&gt;F94),1),0)))))</f>
        <v/>
      </c>
      <c r="N94" s="18" t="n"/>
    </row>
    <row r="95">
      <c r="A95" s="18" t="n"/>
      <c r="B95" s="18" t="n"/>
      <c r="C95" s="18" t="n"/>
      <c r="D95" s="18" t="n"/>
      <c r="E95" s="25" t="n"/>
      <c r="F95" s="18" t="n"/>
      <c r="G95" s="23" t="n"/>
      <c r="H95" s="23" t="n"/>
      <c r="I95" s="18" t="n"/>
      <c r="J95" s="18" t="n"/>
      <c r="K95" s="18" t="n"/>
      <c r="L95" s="23" t="n"/>
      <c r="M95" s="26">
        <f>IF(OR(F95="",J95&lt;&gt;"Yes"),"",DATE(YEAR(TODAY()),MONTH(TODAY())+(DAY(TODAY())&gt;F95),MIN(F95,DAY(EOMONTH(DATE(YEAR(TODAY()),MONTH(TODAY())+(DAY(TODAY())&gt;F95),1),0)))))</f>
        <v/>
      </c>
      <c r="N95" s="18" t="n"/>
    </row>
    <row r="96">
      <c r="A96" s="18" t="n"/>
      <c r="B96" s="18" t="n"/>
      <c r="C96" s="18" t="n"/>
      <c r="D96" s="18" t="n"/>
      <c r="E96" s="25" t="n"/>
      <c r="F96" s="18" t="n"/>
      <c r="G96" s="23" t="n"/>
      <c r="H96" s="23" t="n"/>
      <c r="I96" s="18" t="n"/>
      <c r="J96" s="18" t="n"/>
      <c r="K96" s="18" t="n"/>
      <c r="L96" s="23" t="n"/>
      <c r="M96" s="26">
        <f>IF(OR(F96="",J96&lt;&gt;"Yes"),"",DATE(YEAR(TODAY()),MONTH(TODAY())+(DAY(TODAY())&gt;F96),MIN(F96,DAY(EOMONTH(DATE(YEAR(TODAY()),MONTH(TODAY())+(DAY(TODAY())&gt;F96),1),0)))))</f>
        <v/>
      </c>
      <c r="N96" s="18" t="n"/>
    </row>
    <row r="97">
      <c r="A97" s="18" t="n"/>
      <c r="B97" s="18" t="n"/>
      <c r="C97" s="18" t="n"/>
      <c r="D97" s="18" t="n"/>
      <c r="E97" s="25" t="n"/>
      <c r="F97" s="18" t="n"/>
      <c r="G97" s="23" t="n"/>
      <c r="H97" s="23" t="n"/>
      <c r="I97" s="18" t="n"/>
      <c r="J97" s="18" t="n"/>
      <c r="K97" s="18" t="n"/>
      <c r="L97" s="23" t="n"/>
      <c r="M97" s="26">
        <f>IF(OR(F97="",J97&lt;&gt;"Yes"),"",DATE(YEAR(TODAY()),MONTH(TODAY())+(DAY(TODAY())&gt;F97),MIN(F97,DAY(EOMONTH(DATE(YEAR(TODAY()),MONTH(TODAY())+(DAY(TODAY())&gt;F97),1),0)))))</f>
        <v/>
      </c>
      <c r="N97" s="18" t="n"/>
    </row>
    <row r="98">
      <c r="A98" s="18" t="n"/>
      <c r="B98" s="18" t="n"/>
      <c r="C98" s="18" t="n"/>
      <c r="D98" s="18" t="n"/>
      <c r="E98" s="25" t="n"/>
      <c r="F98" s="18" t="n"/>
      <c r="G98" s="23" t="n"/>
      <c r="H98" s="23" t="n"/>
      <c r="I98" s="18" t="n"/>
      <c r="J98" s="18" t="n"/>
      <c r="K98" s="18" t="n"/>
      <c r="L98" s="23" t="n"/>
      <c r="M98" s="26">
        <f>IF(OR(F98="",J98&lt;&gt;"Yes"),"",DATE(YEAR(TODAY()),MONTH(TODAY())+(DAY(TODAY())&gt;F98),MIN(F98,DAY(EOMONTH(DATE(YEAR(TODAY()),MONTH(TODAY())+(DAY(TODAY())&gt;F98),1),0)))))</f>
        <v/>
      </c>
      <c r="N98" s="18" t="n"/>
    </row>
    <row r="99">
      <c r="A99" s="18" t="n"/>
      <c r="B99" s="18" t="n"/>
      <c r="C99" s="18" t="n"/>
      <c r="D99" s="18" t="n"/>
      <c r="E99" s="25" t="n"/>
      <c r="F99" s="18" t="n"/>
      <c r="G99" s="23" t="n"/>
      <c r="H99" s="23" t="n"/>
      <c r="I99" s="18" t="n"/>
      <c r="J99" s="18" t="n"/>
      <c r="K99" s="18" t="n"/>
      <c r="L99" s="23" t="n"/>
      <c r="M99" s="26">
        <f>IF(OR(F99="",J99&lt;&gt;"Yes"),"",DATE(YEAR(TODAY()),MONTH(TODAY())+(DAY(TODAY())&gt;F99),MIN(F99,DAY(EOMONTH(DATE(YEAR(TODAY()),MONTH(TODAY())+(DAY(TODAY())&gt;F99),1),0)))))</f>
        <v/>
      </c>
      <c r="N99" s="18" t="n"/>
    </row>
    <row r="100">
      <c r="A100" s="18" t="n"/>
      <c r="B100" s="18" t="n"/>
      <c r="C100" s="18" t="n"/>
      <c r="D100" s="18" t="n"/>
      <c r="E100" s="25" t="n"/>
      <c r="F100" s="18" t="n"/>
      <c r="G100" s="23" t="n"/>
      <c r="H100" s="23" t="n"/>
      <c r="I100" s="18" t="n"/>
      <c r="J100" s="18" t="n"/>
      <c r="K100" s="18" t="n"/>
      <c r="L100" s="23" t="n"/>
      <c r="M100" s="26">
        <f>IF(OR(F100="",J100&lt;&gt;"Yes"),"",DATE(YEAR(TODAY()),MONTH(TODAY())+(DAY(TODAY())&gt;F100),MIN(F100,DAY(EOMONTH(DATE(YEAR(TODAY()),MONTH(TODAY())+(DAY(TODAY())&gt;F100),1),0)))))</f>
        <v/>
      </c>
      <c r="N100" s="18" t="n"/>
    </row>
    <row r="101">
      <c r="A101" s="18" t="n"/>
      <c r="B101" s="18" t="n"/>
      <c r="C101" s="18" t="n"/>
      <c r="D101" s="18" t="n"/>
      <c r="E101" s="25" t="n"/>
      <c r="F101" s="18" t="n"/>
      <c r="G101" s="23" t="n"/>
      <c r="H101" s="23" t="n"/>
      <c r="I101" s="18" t="n"/>
      <c r="J101" s="18" t="n"/>
      <c r="K101" s="18" t="n"/>
      <c r="L101" s="23" t="n"/>
      <c r="M101" s="26">
        <f>IF(OR(F101="",J101&lt;&gt;"Yes"),"",DATE(YEAR(TODAY()),MONTH(TODAY())+(DAY(TODAY())&gt;F101),MIN(F101,DAY(EOMONTH(DATE(YEAR(TODAY()),MONTH(TODAY())+(DAY(TODAY())&gt;F101),1),0)))))</f>
        <v/>
      </c>
      <c r="N101" s="18" t="n"/>
    </row>
    <row r="102">
      <c r="A102" s="18" t="n"/>
      <c r="B102" s="18" t="n"/>
      <c r="C102" s="18" t="n"/>
      <c r="D102" s="18" t="n"/>
      <c r="E102" s="25" t="n"/>
      <c r="F102" s="18" t="n"/>
      <c r="G102" s="23" t="n"/>
      <c r="H102" s="23" t="n"/>
      <c r="I102" s="18" t="n"/>
      <c r="J102" s="18" t="n"/>
      <c r="K102" s="18" t="n"/>
      <c r="L102" s="23" t="n"/>
      <c r="M102" s="26">
        <f>IF(OR(F102="",J102&lt;&gt;"Yes"),"",DATE(YEAR(TODAY()),MONTH(TODAY())+(DAY(TODAY())&gt;F102),MIN(F102,DAY(EOMONTH(DATE(YEAR(TODAY()),MONTH(TODAY())+(DAY(TODAY())&gt;F102),1),0)))))</f>
        <v/>
      </c>
      <c r="N102" s="18" t="n"/>
    </row>
    <row r="103">
      <c r="A103" s="18" t="n"/>
      <c r="B103" s="18" t="n"/>
      <c r="C103" s="18" t="n"/>
      <c r="D103" s="18" t="n"/>
      <c r="E103" s="25" t="n"/>
      <c r="F103" s="18" t="n"/>
      <c r="G103" s="23" t="n"/>
      <c r="H103" s="23" t="n"/>
      <c r="I103" s="18" t="n"/>
      <c r="J103" s="18" t="n"/>
      <c r="K103" s="18" t="n"/>
      <c r="L103" s="23" t="n"/>
      <c r="M103" s="26">
        <f>IF(OR(F103="",J103&lt;&gt;"Yes"),"",DATE(YEAR(TODAY()),MONTH(TODAY())+(DAY(TODAY())&gt;F103),MIN(F103,DAY(EOMONTH(DATE(YEAR(TODAY()),MONTH(TODAY())+(DAY(TODAY())&gt;F103),1),0)))))</f>
        <v/>
      </c>
      <c r="N103" s="18" t="n"/>
    </row>
    <row r="104">
      <c r="A104" s="18" t="n"/>
      <c r="B104" s="18" t="n"/>
      <c r="C104" s="18" t="n"/>
      <c r="D104" s="18" t="n"/>
      <c r="E104" s="25" t="n"/>
      <c r="F104" s="18" t="n"/>
      <c r="G104" s="23" t="n"/>
      <c r="H104" s="23" t="n"/>
      <c r="I104" s="18" t="n"/>
      <c r="J104" s="18" t="n"/>
      <c r="K104" s="18" t="n"/>
      <c r="L104" s="23" t="n"/>
      <c r="M104" s="26">
        <f>IF(OR(F104="",J104&lt;&gt;"Yes"),"",DATE(YEAR(TODAY()),MONTH(TODAY())+(DAY(TODAY())&gt;F104),MIN(F104,DAY(EOMONTH(DATE(YEAR(TODAY()),MONTH(TODAY())+(DAY(TODAY())&gt;F104),1),0)))))</f>
        <v/>
      </c>
      <c r="N104" s="18" t="n"/>
    </row>
    <row r="105">
      <c r="A105" s="18" t="n"/>
      <c r="B105" s="18" t="n"/>
      <c r="C105" s="18" t="n"/>
      <c r="D105" s="18" t="n"/>
      <c r="E105" s="25" t="n"/>
      <c r="F105" s="18" t="n"/>
      <c r="G105" s="23" t="n"/>
      <c r="H105" s="23" t="n"/>
      <c r="I105" s="18" t="n"/>
      <c r="J105" s="18" t="n"/>
      <c r="K105" s="18" t="n"/>
      <c r="L105" s="23" t="n"/>
      <c r="M105" s="26">
        <f>IF(OR(F105="",J105&lt;&gt;"Yes"),"",DATE(YEAR(TODAY()),MONTH(TODAY())+(DAY(TODAY())&gt;F105),MIN(F105,DAY(EOMONTH(DATE(YEAR(TODAY()),MONTH(TODAY())+(DAY(TODAY())&gt;F105),1),0)))))</f>
        <v/>
      </c>
      <c r="N105" s="18" t="n"/>
    </row>
    <row r="106">
      <c r="A106" s="18" t="n"/>
      <c r="B106" s="18" t="n"/>
      <c r="C106" s="18" t="n"/>
      <c r="D106" s="18" t="n"/>
      <c r="E106" s="25" t="n"/>
      <c r="F106" s="18" t="n"/>
      <c r="G106" s="23" t="n"/>
      <c r="H106" s="23" t="n"/>
      <c r="I106" s="18" t="n"/>
      <c r="J106" s="18" t="n"/>
      <c r="K106" s="18" t="n"/>
      <c r="L106" s="23" t="n"/>
      <c r="M106" s="26">
        <f>IF(OR(F106="",J106&lt;&gt;"Yes"),"",DATE(YEAR(TODAY()),MONTH(TODAY())+(DAY(TODAY())&gt;F106),MIN(F106,DAY(EOMONTH(DATE(YEAR(TODAY()),MONTH(TODAY())+(DAY(TODAY())&gt;F106),1),0)))))</f>
        <v/>
      </c>
      <c r="N106" s="18" t="n"/>
    </row>
    <row r="107">
      <c r="A107" s="18" t="n"/>
      <c r="B107" s="18" t="n"/>
      <c r="C107" s="18" t="n"/>
      <c r="D107" s="18" t="n"/>
      <c r="E107" s="25" t="n"/>
      <c r="F107" s="18" t="n"/>
      <c r="G107" s="23" t="n"/>
      <c r="H107" s="23" t="n"/>
      <c r="I107" s="18" t="n"/>
      <c r="J107" s="18" t="n"/>
      <c r="K107" s="18" t="n"/>
      <c r="L107" s="23" t="n"/>
      <c r="M107" s="26">
        <f>IF(OR(F107="",J107&lt;&gt;"Yes"),"",DATE(YEAR(TODAY()),MONTH(TODAY())+(DAY(TODAY())&gt;F107),MIN(F107,DAY(EOMONTH(DATE(YEAR(TODAY()),MONTH(TODAY())+(DAY(TODAY())&gt;F107),1),0)))))</f>
        <v/>
      </c>
      <c r="N107" s="18" t="n"/>
    </row>
    <row r="108">
      <c r="A108" s="18" t="n"/>
      <c r="B108" s="18" t="n"/>
      <c r="C108" s="18" t="n"/>
      <c r="D108" s="18" t="n"/>
      <c r="E108" s="25" t="n"/>
      <c r="F108" s="18" t="n"/>
      <c r="G108" s="23" t="n"/>
      <c r="H108" s="23" t="n"/>
      <c r="I108" s="18" t="n"/>
      <c r="J108" s="18" t="n"/>
      <c r="K108" s="18" t="n"/>
      <c r="L108" s="23" t="n"/>
      <c r="M108" s="26">
        <f>IF(OR(F108="",J108&lt;&gt;"Yes"),"",DATE(YEAR(TODAY()),MONTH(TODAY())+(DAY(TODAY())&gt;F108),MIN(F108,DAY(EOMONTH(DATE(YEAR(TODAY()),MONTH(TODAY())+(DAY(TODAY())&gt;F108),1),0)))))</f>
        <v/>
      </c>
      <c r="N108" s="18" t="n"/>
    </row>
    <row r="109">
      <c r="A109" s="18" t="n"/>
      <c r="B109" s="18" t="n"/>
      <c r="C109" s="18" t="n"/>
      <c r="D109" s="18" t="n"/>
      <c r="E109" s="25" t="n"/>
      <c r="F109" s="18" t="n"/>
      <c r="G109" s="23" t="n"/>
      <c r="H109" s="23" t="n"/>
      <c r="I109" s="18" t="n"/>
      <c r="J109" s="18" t="n"/>
      <c r="K109" s="18" t="n"/>
      <c r="L109" s="23" t="n"/>
      <c r="M109" s="26">
        <f>IF(OR(F109="",J109&lt;&gt;"Yes"),"",DATE(YEAR(TODAY()),MONTH(TODAY())+(DAY(TODAY())&gt;F109),MIN(F109,DAY(EOMONTH(DATE(YEAR(TODAY()),MONTH(TODAY())+(DAY(TODAY())&gt;F109),1),0)))))</f>
        <v/>
      </c>
      <c r="N109" s="18" t="n"/>
    </row>
    <row r="110">
      <c r="A110" s="18" t="n"/>
      <c r="B110" s="18" t="n"/>
      <c r="C110" s="18" t="n"/>
      <c r="D110" s="18" t="n"/>
      <c r="E110" s="25" t="n"/>
      <c r="F110" s="18" t="n"/>
      <c r="G110" s="23" t="n"/>
      <c r="H110" s="23" t="n"/>
      <c r="I110" s="18" t="n"/>
      <c r="J110" s="18" t="n"/>
      <c r="K110" s="18" t="n"/>
      <c r="L110" s="23" t="n"/>
      <c r="M110" s="26">
        <f>IF(OR(F110="",J110&lt;&gt;"Yes"),"",DATE(YEAR(TODAY()),MONTH(TODAY())+(DAY(TODAY())&gt;F110),MIN(F110,DAY(EOMONTH(DATE(YEAR(TODAY()),MONTH(TODAY())+(DAY(TODAY())&gt;F110),1),0)))))</f>
        <v/>
      </c>
      <c r="N110" s="18" t="n"/>
    </row>
    <row r="111">
      <c r="A111" s="18" t="n"/>
      <c r="B111" s="18" t="n"/>
      <c r="C111" s="18" t="n"/>
      <c r="D111" s="18" t="n"/>
      <c r="E111" s="25" t="n"/>
      <c r="F111" s="18" t="n"/>
      <c r="G111" s="23" t="n"/>
      <c r="H111" s="23" t="n"/>
      <c r="I111" s="18" t="n"/>
      <c r="J111" s="18" t="n"/>
      <c r="K111" s="18" t="n"/>
      <c r="L111" s="23" t="n"/>
      <c r="M111" s="26">
        <f>IF(OR(F111="",J111&lt;&gt;"Yes"),"",DATE(YEAR(TODAY()),MONTH(TODAY())+(DAY(TODAY())&gt;F111),MIN(F111,DAY(EOMONTH(DATE(YEAR(TODAY()),MONTH(TODAY())+(DAY(TODAY())&gt;F111),1),0)))))</f>
        <v/>
      </c>
      <c r="N111" s="18" t="n"/>
    </row>
    <row r="112">
      <c r="A112" s="18" t="n"/>
      <c r="B112" s="18" t="n"/>
      <c r="C112" s="18" t="n"/>
      <c r="D112" s="18" t="n"/>
      <c r="E112" s="25" t="n"/>
      <c r="F112" s="18" t="n"/>
      <c r="G112" s="23" t="n"/>
      <c r="H112" s="23" t="n"/>
      <c r="I112" s="18" t="n"/>
      <c r="J112" s="18" t="n"/>
      <c r="K112" s="18" t="n"/>
      <c r="L112" s="23" t="n"/>
      <c r="M112" s="26">
        <f>IF(OR(F112="",J112&lt;&gt;"Yes"),"",DATE(YEAR(TODAY()),MONTH(TODAY())+(DAY(TODAY())&gt;F112),MIN(F112,DAY(EOMONTH(DATE(YEAR(TODAY()),MONTH(TODAY())+(DAY(TODAY())&gt;F112),1),0)))))</f>
        <v/>
      </c>
      <c r="N112" s="18" t="n"/>
    </row>
    <row r="113">
      <c r="A113" s="18" t="n"/>
      <c r="B113" s="18" t="n"/>
      <c r="C113" s="18" t="n"/>
      <c r="D113" s="18" t="n"/>
      <c r="E113" s="25" t="n"/>
      <c r="F113" s="18" t="n"/>
      <c r="G113" s="23" t="n"/>
      <c r="H113" s="23" t="n"/>
      <c r="I113" s="18" t="n"/>
      <c r="J113" s="18" t="n"/>
      <c r="K113" s="18" t="n"/>
      <c r="L113" s="23" t="n"/>
      <c r="M113" s="26">
        <f>IF(OR(F113="",J113&lt;&gt;"Yes"),"",DATE(YEAR(TODAY()),MONTH(TODAY())+(DAY(TODAY())&gt;F113),MIN(F113,DAY(EOMONTH(DATE(YEAR(TODAY()),MONTH(TODAY())+(DAY(TODAY())&gt;F113),1),0)))))</f>
        <v/>
      </c>
      <c r="N113" s="18" t="n"/>
    </row>
    <row r="114">
      <c r="A114" s="18" t="n"/>
      <c r="B114" s="18" t="n"/>
      <c r="C114" s="18" t="n"/>
      <c r="D114" s="18" t="n"/>
      <c r="E114" s="25" t="n"/>
      <c r="F114" s="18" t="n"/>
      <c r="G114" s="23" t="n"/>
      <c r="H114" s="23" t="n"/>
      <c r="I114" s="18" t="n"/>
      <c r="J114" s="18" t="n"/>
      <c r="K114" s="18" t="n"/>
      <c r="L114" s="23" t="n"/>
      <c r="M114" s="26">
        <f>IF(OR(F114="",J114&lt;&gt;"Yes"),"",DATE(YEAR(TODAY()),MONTH(TODAY())+(DAY(TODAY())&gt;F114),MIN(F114,DAY(EOMONTH(DATE(YEAR(TODAY()),MONTH(TODAY())+(DAY(TODAY())&gt;F114),1),0)))))</f>
        <v/>
      </c>
      <c r="N114" s="18" t="n"/>
    </row>
    <row r="115">
      <c r="A115" s="18" t="n"/>
      <c r="B115" s="18" t="n"/>
      <c r="C115" s="18" t="n"/>
      <c r="D115" s="18" t="n"/>
      <c r="E115" s="25" t="n"/>
      <c r="F115" s="18" t="n"/>
      <c r="G115" s="23" t="n"/>
      <c r="H115" s="23" t="n"/>
      <c r="I115" s="18" t="n"/>
      <c r="J115" s="18" t="n"/>
      <c r="K115" s="18" t="n"/>
      <c r="L115" s="23" t="n"/>
      <c r="M115" s="26">
        <f>IF(OR(F115="",J115&lt;&gt;"Yes"),"",DATE(YEAR(TODAY()),MONTH(TODAY())+(DAY(TODAY())&gt;F115),MIN(F115,DAY(EOMONTH(DATE(YEAR(TODAY()),MONTH(TODAY())+(DAY(TODAY())&gt;F115),1),0)))))</f>
        <v/>
      </c>
      <c r="N115" s="18" t="n"/>
    </row>
    <row r="116">
      <c r="A116" s="18" t="n"/>
      <c r="B116" s="18" t="n"/>
      <c r="C116" s="18" t="n"/>
      <c r="D116" s="18" t="n"/>
      <c r="E116" s="25" t="n"/>
      <c r="F116" s="18" t="n"/>
      <c r="G116" s="23" t="n"/>
      <c r="H116" s="23" t="n"/>
      <c r="I116" s="18" t="n"/>
      <c r="J116" s="18" t="n"/>
      <c r="K116" s="18" t="n"/>
      <c r="L116" s="23" t="n"/>
      <c r="M116" s="26">
        <f>IF(OR(F116="",J116&lt;&gt;"Yes"),"",DATE(YEAR(TODAY()),MONTH(TODAY())+(DAY(TODAY())&gt;F116),MIN(F116,DAY(EOMONTH(DATE(YEAR(TODAY()),MONTH(TODAY())+(DAY(TODAY())&gt;F116),1),0)))))</f>
        <v/>
      </c>
      <c r="N116" s="18" t="n"/>
    </row>
    <row r="117">
      <c r="A117" s="18" t="n"/>
      <c r="B117" s="18" t="n"/>
      <c r="C117" s="18" t="n"/>
      <c r="D117" s="18" t="n"/>
      <c r="E117" s="25" t="n"/>
      <c r="F117" s="18" t="n"/>
      <c r="G117" s="23" t="n"/>
      <c r="H117" s="23" t="n"/>
      <c r="I117" s="18" t="n"/>
      <c r="J117" s="18" t="n"/>
      <c r="K117" s="18" t="n"/>
      <c r="L117" s="23" t="n"/>
      <c r="M117" s="26">
        <f>IF(OR(F117="",J117&lt;&gt;"Yes"),"",DATE(YEAR(TODAY()),MONTH(TODAY())+(DAY(TODAY())&gt;F117),MIN(F117,DAY(EOMONTH(DATE(YEAR(TODAY()),MONTH(TODAY())+(DAY(TODAY())&gt;F117),1),0)))))</f>
        <v/>
      </c>
      <c r="N117" s="18" t="n"/>
    </row>
    <row r="118">
      <c r="A118" s="18" t="n"/>
      <c r="B118" s="18" t="n"/>
      <c r="C118" s="18" t="n"/>
      <c r="D118" s="18" t="n"/>
      <c r="E118" s="25" t="n"/>
      <c r="F118" s="18" t="n"/>
      <c r="G118" s="23" t="n"/>
      <c r="H118" s="23" t="n"/>
      <c r="I118" s="18" t="n"/>
      <c r="J118" s="18" t="n"/>
      <c r="K118" s="18" t="n"/>
      <c r="L118" s="23" t="n"/>
      <c r="M118" s="26">
        <f>IF(OR(F118="",J118&lt;&gt;"Yes"),"",DATE(YEAR(TODAY()),MONTH(TODAY())+(DAY(TODAY())&gt;F118),MIN(F118,DAY(EOMONTH(DATE(YEAR(TODAY()),MONTH(TODAY())+(DAY(TODAY())&gt;F118),1),0)))))</f>
        <v/>
      </c>
      <c r="N118" s="18" t="n"/>
    </row>
    <row r="119">
      <c r="A119" s="18" t="n"/>
      <c r="B119" s="18" t="n"/>
      <c r="C119" s="18" t="n"/>
      <c r="D119" s="18" t="n"/>
      <c r="E119" s="25" t="n"/>
      <c r="F119" s="18" t="n"/>
      <c r="G119" s="23" t="n"/>
      <c r="H119" s="23" t="n"/>
      <c r="I119" s="18" t="n"/>
      <c r="J119" s="18" t="n"/>
      <c r="K119" s="18" t="n"/>
      <c r="L119" s="23" t="n"/>
      <c r="M119" s="26">
        <f>IF(OR(F119="",J119&lt;&gt;"Yes"),"",DATE(YEAR(TODAY()),MONTH(TODAY())+(DAY(TODAY())&gt;F119),MIN(F119,DAY(EOMONTH(DATE(YEAR(TODAY()),MONTH(TODAY())+(DAY(TODAY())&gt;F119),1),0)))))</f>
        <v/>
      </c>
      <c r="N119" s="18" t="n"/>
    </row>
    <row r="120">
      <c r="A120" s="18" t="n"/>
      <c r="B120" s="18" t="n"/>
      <c r="C120" s="18" t="n"/>
      <c r="D120" s="18" t="n"/>
      <c r="E120" s="25" t="n"/>
      <c r="F120" s="18" t="n"/>
      <c r="G120" s="23" t="n"/>
      <c r="H120" s="23" t="n"/>
      <c r="I120" s="18" t="n"/>
      <c r="J120" s="18" t="n"/>
      <c r="K120" s="18" t="n"/>
      <c r="L120" s="23" t="n"/>
      <c r="M120" s="26">
        <f>IF(OR(F120="",J120&lt;&gt;"Yes"),"",DATE(YEAR(TODAY()),MONTH(TODAY())+(DAY(TODAY())&gt;F120),MIN(F120,DAY(EOMONTH(DATE(YEAR(TODAY()),MONTH(TODAY())+(DAY(TODAY())&gt;F120),1),0)))))</f>
        <v/>
      </c>
      <c r="N120" s="18" t="n"/>
    </row>
    <row r="121">
      <c r="A121" s="18" t="n"/>
      <c r="B121" s="18" t="n"/>
      <c r="C121" s="18" t="n"/>
      <c r="D121" s="18" t="n"/>
      <c r="E121" s="25" t="n"/>
      <c r="F121" s="18" t="n"/>
      <c r="G121" s="23" t="n"/>
      <c r="H121" s="23" t="n"/>
      <c r="I121" s="18" t="n"/>
      <c r="J121" s="18" t="n"/>
      <c r="K121" s="18" t="n"/>
      <c r="L121" s="23" t="n"/>
      <c r="M121" s="26">
        <f>IF(OR(F121="",J121&lt;&gt;"Yes"),"",DATE(YEAR(TODAY()),MONTH(TODAY())+(DAY(TODAY())&gt;F121),MIN(F121,DAY(EOMONTH(DATE(YEAR(TODAY()),MONTH(TODAY())+(DAY(TODAY())&gt;F121),1),0)))))</f>
        <v/>
      </c>
      <c r="N121" s="18" t="n"/>
    </row>
    <row r="122">
      <c r="A122" s="18" t="n"/>
      <c r="B122" s="18" t="n"/>
      <c r="C122" s="18" t="n"/>
      <c r="D122" s="18" t="n"/>
      <c r="E122" s="25" t="n"/>
      <c r="F122" s="18" t="n"/>
      <c r="G122" s="23" t="n"/>
      <c r="H122" s="23" t="n"/>
      <c r="I122" s="18" t="n"/>
      <c r="J122" s="18" t="n"/>
      <c r="K122" s="18" t="n"/>
      <c r="L122" s="23" t="n"/>
      <c r="M122" s="26">
        <f>IF(OR(F122="",J122&lt;&gt;"Yes"),"",DATE(YEAR(TODAY()),MONTH(TODAY())+(DAY(TODAY())&gt;F122),MIN(F122,DAY(EOMONTH(DATE(YEAR(TODAY()),MONTH(TODAY())+(DAY(TODAY())&gt;F122),1),0)))))</f>
        <v/>
      </c>
      <c r="N122" s="18" t="n"/>
    </row>
    <row r="123">
      <c r="A123" s="18" t="n"/>
      <c r="B123" s="18" t="n"/>
      <c r="C123" s="18" t="n"/>
      <c r="D123" s="18" t="n"/>
      <c r="E123" s="25" t="n"/>
      <c r="F123" s="18" t="n"/>
      <c r="G123" s="23" t="n"/>
      <c r="H123" s="23" t="n"/>
      <c r="I123" s="18" t="n"/>
      <c r="J123" s="18" t="n"/>
      <c r="K123" s="18" t="n"/>
      <c r="L123" s="23" t="n"/>
      <c r="M123" s="26">
        <f>IF(OR(F123="",J123&lt;&gt;"Yes"),"",DATE(YEAR(TODAY()),MONTH(TODAY())+(DAY(TODAY())&gt;F123),MIN(F123,DAY(EOMONTH(DATE(YEAR(TODAY()),MONTH(TODAY())+(DAY(TODAY())&gt;F123),1),0)))))</f>
        <v/>
      </c>
      <c r="N123" s="18" t="n"/>
    </row>
    <row r="124">
      <c r="A124" s="18" t="n"/>
      <c r="B124" s="18" t="n"/>
      <c r="C124" s="18" t="n"/>
      <c r="D124" s="18" t="n"/>
      <c r="E124" s="25" t="n"/>
      <c r="F124" s="18" t="n"/>
      <c r="G124" s="23" t="n"/>
      <c r="H124" s="23" t="n"/>
      <c r="I124" s="18" t="n"/>
      <c r="J124" s="18" t="n"/>
      <c r="K124" s="18" t="n"/>
      <c r="L124" s="23" t="n"/>
      <c r="M124" s="26">
        <f>IF(OR(F124="",J124&lt;&gt;"Yes"),"",DATE(YEAR(TODAY()),MONTH(TODAY())+(DAY(TODAY())&gt;F124),MIN(F124,DAY(EOMONTH(DATE(YEAR(TODAY()),MONTH(TODAY())+(DAY(TODAY())&gt;F124),1),0)))))</f>
        <v/>
      </c>
      <c r="N124" s="18" t="n"/>
    </row>
    <row r="125">
      <c r="A125" s="18" t="n"/>
      <c r="B125" s="18" t="n"/>
      <c r="C125" s="18" t="n"/>
      <c r="D125" s="18" t="n"/>
      <c r="E125" s="25" t="n"/>
      <c r="F125" s="18" t="n"/>
      <c r="G125" s="23" t="n"/>
      <c r="H125" s="23" t="n"/>
      <c r="I125" s="18" t="n"/>
      <c r="J125" s="18" t="n"/>
      <c r="K125" s="18" t="n"/>
      <c r="L125" s="23" t="n"/>
      <c r="M125" s="26">
        <f>IF(OR(F125="",J125&lt;&gt;"Yes"),"",DATE(YEAR(TODAY()),MONTH(TODAY())+(DAY(TODAY())&gt;F125),MIN(F125,DAY(EOMONTH(DATE(YEAR(TODAY()),MONTH(TODAY())+(DAY(TODAY())&gt;F125),1),0)))))</f>
        <v/>
      </c>
      <c r="N125" s="18" t="n"/>
    </row>
    <row r="126">
      <c r="A126" s="18" t="n"/>
      <c r="B126" s="18" t="n"/>
      <c r="C126" s="18" t="n"/>
      <c r="D126" s="18" t="n"/>
      <c r="E126" s="25" t="n"/>
      <c r="F126" s="18" t="n"/>
      <c r="G126" s="23" t="n"/>
      <c r="H126" s="23" t="n"/>
      <c r="I126" s="18" t="n"/>
      <c r="J126" s="18" t="n"/>
      <c r="K126" s="18" t="n"/>
      <c r="L126" s="23" t="n"/>
      <c r="M126" s="26">
        <f>IF(OR(F126="",J126&lt;&gt;"Yes"),"",DATE(YEAR(TODAY()),MONTH(TODAY())+(DAY(TODAY())&gt;F126),MIN(F126,DAY(EOMONTH(DATE(YEAR(TODAY()),MONTH(TODAY())+(DAY(TODAY())&gt;F126),1),0)))))</f>
        <v/>
      </c>
      <c r="N126" s="18" t="n"/>
    </row>
    <row r="127">
      <c r="A127" s="18" t="n"/>
      <c r="B127" s="18" t="n"/>
      <c r="C127" s="18" t="n"/>
      <c r="D127" s="18" t="n"/>
      <c r="E127" s="25" t="n"/>
      <c r="F127" s="18" t="n"/>
      <c r="G127" s="23" t="n"/>
      <c r="H127" s="23" t="n"/>
      <c r="I127" s="18" t="n"/>
      <c r="J127" s="18" t="n"/>
      <c r="K127" s="18" t="n"/>
      <c r="L127" s="23" t="n"/>
      <c r="M127" s="26">
        <f>IF(OR(F127="",J127&lt;&gt;"Yes"),"",DATE(YEAR(TODAY()),MONTH(TODAY())+(DAY(TODAY())&gt;F127),MIN(F127,DAY(EOMONTH(DATE(YEAR(TODAY()),MONTH(TODAY())+(DAY(TODAY())&gt;F127),1),0)))))</f>
        <v/>
      </c>
      <c r="N127" s="18" t="n"/>
    </row>
    <row r="128">
      <c r="A128" s="18" t="n"/>
      <c r="B128" s="18" t="n"/>
      <c r="C128" s="18" t="n"/>
      <c r="D128" s="18" t="n"/>
      <c r="E128" s="25" t="n"/>
      <c r="F128" s="18" t="n"/>
      <c r="G128" s="23" t="n"/>
      <c r="H128" s="23" t="n"/>
      <c r="I128" s="18" t="n"/>
      <c r="J128" s="18" t="n"/>
      <c r="K128" s="18" t="n"/>
      <c r="L128" s="23" t="n"/>
      <c r="M128" s="26">
        <f>IF(OR(F128="",J128&lt;&gt;"Yes"),"",DATE(YEAR(TODAY()),MONTH(TODAY())+(DAY(TODAY())&gt;F128),MIN(F128,DAY(EOMONTH(DATE(YEAR(TODAY()),MONTH(TODAY())+(DAY(TODAY())&gt;F128),1),0)))))</f>
        <v/>
      </c>
      <c r="N128" s="18" t="n"/>
    </row>
    <row r="129">
      <c r="A129" s="18" t="n"/>
      <c r="B129" s="18" t="n"/>
      <c r="C129" s="18" t="n"/>
      <c r="D129" s="18" t="n"/>
      <c r="E129" s="25" t="n"/>
      <c r="F129" s="18" t="n"/>
      <c r="G129" s="23" t="n"/>
      <c r="H129" s="23" t="n"/>
      <c r="I129" s="18" t="n"/>
      <c r="J129" s="18" t="n"/>
      <c r="K129" s="18" t="n"/>
      <c r="L129" s="23" t="n"/>
      <c r="M129" s="26">
        <f>IF(OR(F129="",J129&lt;&gt;"Yes"),"",DATE(YEAR(TODAY()),MONTH(TODAY())+(DAY(TODAY())&gt;F129),MIN(F129,DAY(EOMONTH(DATE(YEAR(TODAY()),MONTH(TODAY())+(DAY(TODAY())&gt;F129),1),0)))))</f>
        <v/>
      </c>
      <c r="N129" s="18" t="n"/>
    </row>
    <row r="130">
      <c r="A130" s="18" t="n"/>
      <c r="B130" s="18" t="n"/>
      <c r="C130" s="18" t="n"/>
      <c r="D130" s="18" t="n"/>
      <c r="E130" s="25" t="n"/>
      <c r="F130" s="18" t="n"/>
      <c r="G130" s="23" t="n"/>
      <c r="H130" s="23" t="n"/>
      <c r="I130" s="18" t="n"/>
      <c r="J130" s="18" t="n"/>
      <c r="K130" s="18" t="n"/>
      <c r="L130" s="23" t="n"/>
      <c r="M130" s="26">
        <f>IF(OR(F130="",J130&lt;&gt;"Yes"),"",DATE(YEAR(TODAY()),MONTH(TODAY())+(DAY(TODAY())&gt;F130),MIN(F130,DAY(EOMONTH(DATE(YEAR(TODAY()),MONTH(TODAY())+(DAY(TODAY())&gt;F130),1),0)))))</f>
        <v/>
      </c>
      <c r="N130" s="18" t="n"/>
    </row>
    <row r="131">
      <c r="A131" s="18" t="n"/>
      <c r="B131" s="18" t="n"/>
      <c r="C131" s="18" t="n"/>
      <c r="D131" s="18" t="n"/>
      <c r="E131" s="25" t="n"/>
      <c r="F131" s="18" t="n"/>
      <c r="G131" s="23" t="n"/>
      <c r="H131" s="23" t="n"/>
      <c r="I131" s="18" t="n"/>
      <c r="J131" s="18" t="n"/>
      <c r="K131" s="18" t="n"/>
      <c r="L131" s="23" t="n"/>
      <c r="M131" s="26">
        <f>IF(OR(F131="",J131&lt;&gt;"Yes"),"",DATE(YEAR(TODAY()),MONTH(TODAY())+(DAY(TODAY())&gt;F131),MIN(F131,DAY(EOMONTH(DATE(YEAR(TODAY()),MONTH(TODAY())+(DAY(TODAY())&gt;F131),1),0)))))</f>
        <v/>
      </c>
      <c r="N131" s="18" t="n"/>
    </row>
    <row r="132">
      <c r="A132" s="18" t="n"/>
      <c r="B132" s="18" t="n"/>
      <c r="C132" s="18" t="n"/>
      <c r="D132" s="18" t="n"/>
      <c r="E132" s="25" t="n"/>
      <c r="F132" s="18" t="n"/>
      <c r="G132" s="23" t="n"/>
      <c r="H132" s="23" t="n"/>
      <c r="I132" s="18" t="n"/>
      <c r="J132" s="18" t="n"/>
      <c r="K132" s="18" t="n"/>
      <c r="L132" s="23" t="n"/>
      <c r="M132" s="26">
        <f>IF(OR(F132="",J132&lt;&gt;"Yes"),"",DATE(YEAR(TODAY()),MONTH(TODAY())+(DAY(TODAY())&gt;F132),MIN(F132,DAY(EOMONTH(DATE(YEAR(TODAY()),MONTH(TODAY())+(DAY(TODAY())&gt;F132),1),0)))))</f>
        <v/>
      </c>
      <c r="N132" s="18" t="n"/>
    </row>
    <row r="133">
      <c r="A133" s="18" t="n"/>
      <c r="B133" s="18" t="n"/>
      <c r="C133" s="18" t="n"/>
      <c r="D133" s="18" t="n"/>
      <c r="E133" s="25" t="n"/>
      <c r="F133" s="18" t="n"/>
      <c r="G133" s="23" t="n"/>
      <c r="H133" s="23" t="n"/>
      <c r="I133" s="18" t="n"/>
      <c r="J133" s="18" t="n"/>
      <c r="K133" s="18" t="n"/>
      <c r="L133" s="23" t="n"/>
      <c r="M133" s="26">
        <f>IF(OR(F133="",J133&lt;&gt;"Yes"),"",DATE(YEAR(TODAY()),MONTH(TODAY())+(DAY(TODAY())&gt;F133),MIN(F133,DAY(EOMONTH(DATE(YEAR(TODAY()),MONTH(TODAY())+(DAY(TODAY())&gt;F133),1),0)))))</f>
        <v/>
      </c>
      <c r="N133" s="18" t="n"/>
    </row>
    <row r="134">
      <c r="A134" s="18" t="n"/>
      <c r="B134" s="18" t="n"/>
      <c r="C134" s="18" t="n"/>
      <c r="D134" s="18" t="n"/>
      <c r="E134" s="25" t="n"/>
      <c r="F134" s="18" t="n"/>
      <c r="G134" s="23" t="n"/>
      <c r="H134" s="23" t="n"/>
      <c r="I134" s="18" t="n"/>
      <c r="J134" s="18" t="n"/>
      <c r="K134" s="18" t="n"/>
      <c r="L134" s="23" t="n"/>
      <c r="M134" s="26">
        <f>IF(OR(F134="",J134&lt;&gt;"Yes"),"",DATE(YEAR(TODAY()),MONTH(TODAY())+(DAY(TODAY())&gt;F134),MIN(F134,DAY(EOMONTH(DATE(YEAR(TODAY()),MONTH(TODAY())+(DAY(TODAY())&gt;F134),1),0)))))</f>
        <v/>
      </c>
      <c r="N134" s="18" t="n"/>
    </row>
    <row r="135">
      <c r="A135" s="18" t="n"/>
      <c r="B135" s="18" t="n"/>
      <c r="C135" s="18" t="n"/>
      <c r="D135" s="18" t="n"/>
      <c r="E135" s="25" t="n"/>
      <c r="F135" s="18" t="n"/>
      <c r="G135" s="23" t="n"/>
      <c r="H135" s="23" t="n"/>
      <c r="I135" s="18" t="n"/>
      <c r="J135" s="18" t="n"/>
      <c r="K135" s="18" t="n"/>
      <c r="L135" s="23" t="n"/>
      <c r="M135" s="26">
        <f>IF(OR(F135="",J135&lt;&gt;"Yes"),"",DATE(YEAR(TODAY()),MONTH(TODAY())+(DAY(TODAY())&gt;F135),MIN(F135,DAY(EOMONTH(DATE(YEAR(TODAY()),MONTH(TODAY())+(DAY(TODAY())&gt;F135),1),0)))))</f>
        <v/>
      </c>
      <c r="N135" s="18" t="n"/>
    </row>
    <row r="136">
      <c r="A136" s="18" t="n"/>
      <c r="B136" s="18" t="n"/>
      <c r="C136" s="18" t="n"/>
      <c r="D136" s="18" t="n"/>
      <c r="E136" s="25" t="n"/>
      <c r="F136" s="18" t="n"/>
      <c r="G136" s="23" t="n"/>
      <c r="H136" s="23" t="n"/>
      <c r="I136" s="18" t="n"/>
      <c r="J136" s="18" t="n"/>
      <c r="K136" s="18" t="n"/>
      <c r="L136" s="23" t="n"/>
      <c r="M136" s="26">
        <f>IF(OR(F136="",J136&lt;&gt;"Yes"),"",DATE(YEAR(TODAY()),MONTH(TODAY())+(DAY(TODAY())&gt;F136),MIN(F136,DAY(EOMONTH(DATE(YEAR(TODAY()),MONTH(TODAY())+(DAY(TODAY())&gt;F136),1),0)))))</f>
        <v/>
      </c>
      <c r="N136" s="18" t="n"/>
    </row>
    <row r="137">
      <c r="A137" s="18" t="n"/>
      <c r="B137" s="18" t="n"/>
      <c r="C137" s="18" t="n"/>
      <c r="D137" s="18" t="n"/>
      <c r="E137" s="25" t="n"/>
      <c r="F137" s="18" t="n"/>
      <c r="G137" s="23" t="n"/>
      <c r="H137" s="23" t="n"/>
      <c r="I137" s="18" t="n"/>
      <c r="J137" s="18" t="n"/>
      <c r="K137" s="18" t="n"/>
      <c r="L137" s="23" t="n"/>
      <c r="M137" s="26">
        <f>IF(OR(F137="",J137&lt;&gt;"Yes"),"",DATE(YEAR(TODAY()),MONTH(TODAY())+(DAY(TODAY())&gt;F137),MIN(F137,DAY(EOMONTH(DATE(YEAR(TODAY()),MONTH(TODAY())+(DAY(TODAY())&gt;F137),1),0)))))</f>
        <v/>
      </c>
      <c r="N137" s="18" t="n"/>
    </row>
    <row r="138">
      <c r="A138" s="18" t="n"/>
      <c r="B138" s="18" t="n"/>
      <c r="C138" s="18" t="n"/>
      <c r="D138" s="18" t="n"/>
      <c r="E138" s="25" t="n"/>
      <c r="F138" s="18" t="n"/>
      <c r="G138" s="23" t="n"/>
      <c r="H138" s="23" t="n"/>
      <c r="I138" s="18" t="n"/>
      <c r="J138" s="18" t="n"/>
      <c r="K138" s="18" t="n"/>
      <c r="L138" s="23" t="n"/>
      <c r="M138" s="26">
        <f>IF(OR(F138="",J138&lt;&gt;"Yes"),"",DATE(YEAR(TODAY()),MONTH(TODAY())+(DAY(TODAY())&gt;F138),MIN(F138,DAY(EOMONTH(DATE(YEAR(TODAY()),MONTH(TODAY())+(DAY(TODAY())&gt;F138),1),0)))))</f>
        <v/>
      </c>
      <c r="N138" s="18" t="n"/>
    </row>
    <row r="139">
      <c r="A139" s="18" t="n"/>
      <c r="B139" s="18" t="n"/>
      <c r="C139" s="18" t="n"/>
      <c r="D139" s="18" t="n"/>
      <c r="E139" s="25" t="n"/>
      <c r="F139" s="18" t="n"/>
      <c r="G139" s="23" t="n"/>
      <c r="H139" s="23" t="n"/>
      <c r="I139" s="18" t="n"/>
      <c r="J139" s="18" t="n"/>
      <c r="K139" s="18" t="n"/>
      <c r="L139" s="23" t="n"/>
      <c r="M139" s="26">
        <f>IF(OR(F139="",J139&lt;&gt;"Yes"),"",DATE(YEAR(TODAY()),MONTH(TODAY())+(DAY(TODAY())&gt;F139),MIN(F139,DAY(EOMONTH(DATE(YEAR(TODAY()),MONTH(TODAY())+(DAY(TODAY())&gt;F139),1),0)))))</f>
        <v/>
      </c>
      <c r="N139" s="18" t="n"/>
    </row>
    <row r="140">
      <c r="A140" s="18" t="n"/>
      <c r="B140" s="18" t="n"/>
      <c r="C140" s="18" t="n"/>
      <c r="D140" s="18" t="n"/>
      <c r="E140" s="25" t="n"/>
      <c r="F140" s="18" t="n"/>
      <c r="G140" s="23" t="n"/>
      <c r="H140" s="23" t="n"/>
      <c r="I140" s="18" t="n"/>
      <c r="J140" s="18" t="n"/>
      <c r="K140" s="18" t="n"/>
      <c r="L140" s="23" t="n"/>
      <c r="M140" s="26">
        <f>IF(OR(F140="",J140&lt;&gt;"Yes"),"",DATE(YEAR(TODAY()),MONTH(TODAY())+(DAY(TODAY())&gt;F140),MIN(F140,DAY(EOMONTH(DATE(YEAR(TODAY()),MONTH(TODAY())+(DAY(TODAY())&gt;F140),1),0)))))</f>
        <v/>
      </c>
      <c r="N140" s="18" t="n"/>
    </row>
    <row r="141">
      <c r="A141" s="18" t="n"/>
      <c r="B141" s="18" t="n"/>
      <c r="C141" s="18" t="n"/>
      <c r="D141" s="18" t="n"/>
      <c r="E141" s="25" t="n"/>
      <c r="F141" s="18" t="n"/>
      <c r="G141" s="23" t="n"/>
      <c r="H141" s="23" t="n"/>
      <c r="I141" s="18" t="n"/>
      <c r="J141" s="18" t="n"/>
      <c r="K141" s="18" t="n"/>
      <c r="L141" s="23" t="n"/>
      <c r="M141" s="26">
        <f>IF(OR(F141="",J141&lt;&gt;"Yes"),"",DATE(YEAR(TODAY()),MONTH(TODAY())+(DAY(TODAY())&gt;F141),MIN(F141,DAY(EOMONTH(DATE(YEAR(TODAY()),MONTH(TODAY())+(DAY(TODAY())&gt;F141),1),0)))))</f>
        <v/>
      </c>
      <c r="N141" s="18" t="n"/>
    </row>
    <row r="142">
      <c r="A142" s="18" t="n"/>
      <c r="B142" s="18" t="n"/>
      <c r="C142" s="18" t="n"/>
      <c r="D142" s="18" t="n"/>
      <c r="E142" s="25" t="n"/>
      <c r="F142" s="18" t="n"/>
      <c r="G142" s="23" t="n"/>
      <c r="H142" s="23" t="n"/>
      <c r="I142" s="18" t="n"/>
      <c r="J142" s="18" t="n"/>
      <c r="K142" s="18" t="n"/>
      <c r="L142" s="23" t="n"/>
      <c r="M142" s="26">
        <f>IF(OR(F142="",J142&lt;&gt;"Yes"),"",DATE(YEAR(TODAY()),MONTH(TODAY())+(DAY(TODAY())&gt;F142),MIN(F142,DAY(EOMONTH(DATE(YEAR(TODAY()),MONTH(TODAY())+(DAY(TODAY())&gt;F142),1),0)))))</f>
        <v/>
      </c>
      <c r="N142" s="18" t="n"/>
    </row>
    <row r="143">
      <c r="A143" s="18" t="n"/>
      <c r="B143" s="18" t="n"/>
      <c r="C143" s="18" t="n"/>
      <c r="D143" s="18" t="n"/>
      <c r="E143" s="25" t="n"/>
      <c r="F143" s="18" t="n"/>
      <c r="G143" s="23" t="n"/>
      <c r="H143" s="23" t="n"/>
      <c r="I143" s="18" t="n"/>
      <c r="J143" s="18" t="n"/>
      <c r="K143" s="18" t="n"/>
      <c r="L143" s="23" t="n"/>
      <c r="M143" s="26">
        <f>IF(OR(F143="",J143&lt;&gt;"Yes"),"",DATE(YEAR(TODAY()),MONTH(TODAY())+(DAY(TODAY())&gt;F143),MIN(F143,DAY(EOMONTH(DATE(YEAR(TODAY()),MONTH(TODAY())+(DAY(TODAY())&gt;F143),1),0)))))</f>
        <v/>
      </c>
      <c r="N143" s="18" t="n"/>
    </row>
    <row r="144">
      <c r="A144" s="18" t="n"/>
      <c r="B144" s="18" t="n"/>
      <c r="C144" s="18" t="n"/>
      <c r="D144" s="18" t="n"/>
      <c r="E144" s="25" t="n"/>
      <c r="F144" s="18" t="n"/>
      <c r="G144" s="23" t="n"/>
      <c r="H144" s="23" t="n"/>
      <c r="I144" s="18" t="n"/>
      <c r="J144" s="18" t="n"/>
      <c r="K144" s="18" t="n"/>
      <c r="L144" s="23" t="n"/>
      <c r="M144" s="26">
        <f>IF(OR(F144="",J144&lt;&gt;"Yes"),"",DATE(YEAR(TODAY()),MONTH(TODAY())+(DAY(TODAY())&gt;F144),MIN(F144,DAY(EOMONTH(DATE(YEAR(TODAY()),MONTH(TODAY())+(DAY(TODAY())&gt;F144),1),0)))))</f>
        <v/>
      </c>
      <c r="N144" s="18" t="n"/>
    </row>
    <row r="145">
      <c r="A145" s="18" t="n"/>
      <c r="B145" s="18" t="n"/>
      <c r="C145" s="18" t="n"/>
      <c r="D145" s="18" t="n"/>
      <c r="E145" s="25" t="n"/>
      <c r="F145" s="18" t="n"/>
      <c r="G145" s="23" t="n"/>
      <c r="H145" s="23" t="n"/>
      <c r="I145" s="18" t="n"/>
      <c r="J145" s="18" t="n"/>
      <c r="K145" s="18" t="n"/>
      <c r="L145" s="23" t="n"/>
      <c r="M145" s="26">
        <f>IF(OR(F145="",J145&lt;&gt;"Yes"),"",DATE(YEAR(TODAY()),MONTH(TODAY())+(DAY(TODAY())&gt;F145),MIN(F145,DAY(EOMONTH(DATE(YEAR(TODAY()),MONTH(TODAY())+(DAY(TODAY())&gt;F145),1),0)))))</f>
        <v/>
      </c>
      <c r="N145" s="18" t="n"/>
    </row>
    <row r="146">
      <c r="A146" s="18" t="n"/>
      <c r="B146" s="18" t="n"/>
      <c r="C146" s="18" t="n"/>
      <c r="D146" s="18" t="n"/>
      <c r="E146" s="25" t="n"/>
      <c r="F146" s="18" t="n"/>
      <c r="G146" s="23" t="n"/>
      <c r="H146" s="23" t="n"/>
      <c r="I146" s="18" t="n"/>
      <c r="J146" s="18" t="n"/>
      <c r="K146" s="18" t="n"/>
      <c r="L146" s="23" t="n"/>
      <c r="M146" s="26">
        <f>IF(OR(F146="",J146&lt;&gt;"Yes"),"",DATE(YEAR(TODAY()),MONTH(TODAY())+(DAY(TODAY())&gt;F146),MIN(F146,DAY(EOMONTH(DATE(YEAR(TODAY()),MONTH(TODAY())+(DAY(TODAY())&gt;F146),1),0)))))</f>
        <v/>
      </c>
      <c r="N146" s="18" t="n"/>
    </row>
    <row r="147">
      <c r="A147" s="18" t="n"/>
      <c r="B147" s="18" t="n"/>
      <c r="C147" s="18" t="n"/>
      <c r="D147" s="18" t="n"/>
      <c r="E147" s="25" t="n"/>
      <c r="F147" s="18" t="n"/>
      <c r="G147" s="23" t="n"/>
      <c r="H147" s="23" t="n"/>
      <c r="I147" s="18" t="n"/>
      <c r="J147" s="18" t="n"/>
      <c r="K147" s="18" t="n"/>
      <c r="L147" s="23" t="n"/>
      <c r="M147" s="26">
        <f>IF(OR(F147="",J147&lt;&gt;"Yes"),"",DATE(YEAR(TODAY()),MONTH(TODAY())+(DAY(TODAY())&gt;F147),MIN(F147,DAY(EOMONTH(DATE(YEAR(TODAY()),MONTH(TODAY())+(DAY(TODAY())&gt;F147),1),0)))))</f>
        <v/>
      </c>
      <c r="N147" s="18" t="n"/>
    </row>
    <row r="148">
      <c r="A148" s="18" t="n"/>
      <c r="B148" s="18" t="n"/>
      <c r="C148" s="18" t="n"/>
      <c r="D148" s="18" t="n"/>
      <c r="E148" s="25" t="n"/>
      <c r="F148" s="18" t="n"/>
      <c r="G148" s="23" t="n"/>
      <c r="H148" s="23" t="n"/>
      <c r="I148" s="18" t="n"/>
      <c r="J148" s="18" t="n"/>
      <c r="K148" s="18" t="n"/>
      <c r="L148" s="23" t="n"/>
      <c r="M148" s="26">
        <f>IF(OR(F148="",J148&lt;&gt;"Yes"),"",DATE(YEAR(TODAY()),MONTH(TODAY())+(DAY(TODAY())&gt;F148),MIN(F148,DAY(EOMONTH(DATE(YEAR(TODAY()),MONTH(TODAY())+(DAY(TODAY())&gt;F148),1),0)))))</f>
        <v/>
      </c>
      <c r="N148" s="18" t="n"/>
    </row>
    <row r="149">
      <c r="A149" s="18" t="n"/>
      <c r="B149" s="18" t="n"/>
      <c r="C149" s="18" t="n"/>
      <c r="D149" s="18" t="n"/>
      <c r="E149" s="25" t="n"/>
      <c r="F149" s="18" t="n"/>
      <c r="G149" s="23" t="n"/>
      <c r="H149" s="23" t="n"/>
      <c r="I149" s="18" t="n"/>
      <c r="J149" s="18" t="n"/>
      <c r="K149" s="18" t="n"/>
      <c r="L149" s="23" t="n"/>
      <c r="M149" s="26">
        <f>IF(OR(F149="",J149&lt;&gt;"Yes"),"",DATE(YEAR(TODAY()),MONTH(TODAY())+(DAY(TODAY())&gt;F149),MIN(F149,DAY(EOMONTH(DATE(YEAR(TODAY()),MONTH(TODAY())+(DAY(TODAY())&gt;F149),1),0)))))</f>
        <v/>
      </c>
      <c r="N149" s="18" t="n"/>
    </row>
    <row r="150">
      <c r="A150" s="18" t="n"/>
      <c r="B150" s="18" t="n"/>
      <c r="C150" s="18" t="n"/>
      <c r="D150" s="18" t="n"/>
      <c r="E150" s="25" t="n"/>
      <c r="F150" s="18" t="n"/>
      <c r="G150" s="23" t="n"/>
      <c r="H150" s="23" t="n"/>
      <c r="I150" s="18" t="n"/>
      <c r="J150" s="18" t="n"/>
      <c r="K150" s="18" t="n"/>
      <c r="L150" s="23" t="n"/>
      <c r="M150" s="26">
        <f>IF(OR(F150="",J150&lt;&gt;"Yes"),"",DATE(YEAR(TODAY()),MONTH(TODAY())+(DAY(TODAY())&gt;F150),MIN(F150,DAY(EOMONTH(DATE(YEAR(TODAY()),MONTH(TODAY())+(DAY(TODAY())&gt;F150),1),0)))))</f>
        <v/>
      </c>
      <c r="N150" s="18" t="n"/>
    </row>
    <row r="151">
      <c r="A151" s="18" t="n"/>
      <c r="B151" s="18" t="n"/>
      <c r="C151" s="18" t="n"/>
      <c r="D151" s="18" t="n"/>
      <c r="E151" s="25" t="n"/>
      <c r="F151" s="18" t="n"/>
      <c r="G151" s="23" t="n"/>
      <c r="H151" s="23" t="n"/>
      <c r="I151" s="18" t="n"/>
      <c r="J151" s="18" t="n"/>
      <c r="K151" s="18" t="n"/>
      <c r="L151" s="23" t="n"/>
      <c r="M151" s="26">
        <f>IF(OR(F151="",J151&lt;&gt;"Yes"),"",DATE(YEAR(TODAY()),MONTH(TODAY())+(DAY(TODAY())&gt;F151),MIN(F151,DAY(EOMONTH(DATE(YEAR(TODAY()),MONTH(TODAY())+(DAY(TODAY())&gt;F151),1),0)))))</f>
        <v/>
      </c>
      <c r="N151" s="18" t="n"/>
    </row>
    <row r="152">
      <c r="A152" s="18" t="n"/>
      <c r="B152" s="18" t="n"/>
      <c r="C152" s="18" t="n"/>
      <c r="D152" s="18" t="n"/>
      <c r="E152" s="25" t="n"/>
      <c r="F152" s="18" t="n"/>
      <c r="G152" s="23" t="n"/>
      <c r="H152" s="23" t="n"/>
      <c r="I152" s="18" t="n"/>
      <c r="J152" s="18" t="n"/>
      <c r="K152" s="18" t="n"/>
      <c r="L152" s="23" t="n"/>
      <c r="M152" s="26">
        <f>IF(OR(F152="",J152&lt;&gt;"Yes"),"",DATE(YEAR(TODAY()),MONTH(TODAY())+(DAY(TODAY())&gt;F152),MIN(F152,DAY(EOMONTH(DATE(YEAR(TODAY()),MONTH(TODAY())+(DAY(TODAY())&gt;F152),1),0)))))</f>
        <v/>
      </c>
      <c r="N152" s="18" t="n"/>
    </row>
    <row r="153">
      <c r="A153" s="18" t="n"/>
      <c r="B153" s="18" t="n"/>
      <c r="C153" s="18" t="n"/>
      <c r="D153" s="18" t="n"/>
      <c r="E153" s="25" t="n"/>
      <c r="F153" s="18" t="n"/>
      <c r="G153" s="23" t="n"/>
      <c r="H153" s="23" t="n"/>
      <c r="I153" s="18" t="n"/>
      <c r="J153" s="18" t="n"/>
      <c r="K153" s="18" t="n"/>
      <c r="L153" s="23" t="n"/>
      <c r="M153" s="26">
        <f>IF(OR(F153="",J153&lt;&gt;"Yes"),"",DATE(YEAR(TODAY()),MONTH(TODAY())+(DAY(TODAY())&gt;F153),MIN(F153,DAY(EOMONTH(DATE(YEAR(TODAY()),MONTH(TODAY())+(DAY(TODAY())&gt;F153),1),0)))))</f>
        <v/>
      </c>
      <c r="N153" s="18" t="n"/>
    </row>
    <row r="154">
      <c r="A154" s="18" t="n"/>
      <c r="B154" s="18" t="n"/>
      <c r="C154" s="18" t="n"/>
      <c r="D154" s="18" t="n"/>
      <c r="E154" s="25" t="n"/>
      <c r="F154" s="18" t="n"/>
      <c r="G154" s="23" t="n"/>
      <c r="H154" s="23" t="n"/>
      <c r="I154" s="18" t="n"/>
      <c r="J154" s="18" t="n"/>
      <c r="K154" s="18" t="n"/>
      <c r="L154" s="23" t="n"/>
      <c r="M154" s="26">
        <f>IF(OR(F154="",J154&lt;&gt;"Yes"),"",DATE(YEAR(TODAY()),MONTH(TODAY())+(DAY(TODAY())&gt;F154),MIN(F154,DAY(EOMONTH(DATE(YEAR(TODAY()),MONTH(TODAY())+(DAY(TODAY())&gt;F154),1),0)))))</f>
        <v/>
      </c>
      <c r="N154" s="18" t="n"/>
    </row>
    <row r="155">
      <c r="A155" s="18" t="n"/>
      <c r="B155" s="18" t="n"/>
      <c r="C155" s="18" t="n"/>
      <c r="D155" s="18" t="n"/>
      <c r="E155" s="25" t="n"/>
      <c r="F155" s="18" t="n"/>
      <c r="G155" s="23" t="n"/>
      <c r="H155" s="23" t="n"/>
      <c r="I155" s="18" t="n"/>
      <c r="J155" s="18" t="n"/>
      <c r="K155" s="18" t="n"/>
      <c r="L155" s="23" t="n"/>
      <c r="M155" s="26">
        <f>IF(OR(F155="",J155&lt;&gt;"Yes"),"",DATE(YEAR(TODAY()),MONTH(TODAY())+(DAY(TODAY())&gt;F155),MIN(F155,DAY(EOMONTH(DATE(YEAR(TODAY()),MONTH(TODAY())+(DAY(TODAY())&gt;F155),1),0)))))</f>
        <v/>
      </c>
      <c r="N155" s="18" t="n"/>
    </row>
    <row r="156">
      <c r="A156" s="18" t="n"/>
      <c r="B156" s="18" t="n"/>
      <c r="C156" s="18" t="n"/>
      <c r="D156" s="18" t="n"/>
      <c r="E156" s="25" t="n"/>
      <c r="F156" s="18" t="n"/>
      <c r="G156" s="23" t="n"/>
      <c r="H156" s="23" t="n"/>
      <c r="I156" s="18" t="n"/>
      <c r="J156" s="18" t="n"/>
      <c r="K156" s="18" t="n"/>
      <c r="L156" s="23" t="n"/>
      <c r="M156" s="26">
        <f>IF(OR(F156="",J156&lt;&gt;"Yes"),"",DATE(YEAR(TODAY()),MONTH(TODAY())+(DAY(TODAY())&gt;F156),MIN(F156,DAY(EOMONTH(DATE(YEAR(TODAY()),MONTH(TODAY())+(DAY(TODAY())&gt;F156),1),0)))))</f>
        <v/>
      </c>
      <c r="N156" s="18" t="n"/>
    </row>
    <row r="157">
      <c r="A157" s="18" t="n"/>
      <c r="B157" s="18" t="n"/>
      <c r="C157" s="18" t="n"/>
      <c r="D157" s="18" t="n"/>
      <c r="E157" s="25" t="n"/>
      <c r="F157" s="18" t="n"/>
      <c r="G157" s="23" t="n"/>
      <c r="H157" s="23" t="n"/>
      <c r="I157" s="18" t="n"/>
      <c r="J157" s="18" t="n"/>
      <c r="K157" s="18" t="n"/>
      <c r="L157" s="23" t="n"/>
      <c r="M157" s="26">
        <f>IF(OR(F157="",J157&lt;&gt;"Yes"),"",DATE(YEAR(TODAY()),MONTH(TODAY())+(DAY(TODAY())&gt;F157),MIN(F157,DAY(EOMONTH(DATE(YEAR(TODAY()),MONTH(TODAY())+(DAY(TODAY())&gt;F157),1),0)))))</f>
        <v/>
      </c>
      <c r="N157" s="18" t="n"/>
    </row>
    <row r="158">
      <c r="A158" s="18" t="n"/>
      <c r="B158" s="18" t="n"/>
      <c r="C158" s="18" t="n"/>
      <c r="D158" s="18" t="n"/>
      <c r="E158" s="25" t="n"/>
      <c r="F158" s="18" t="n"/>
      <c r="G158" s="23" t="n"/>
      <c r="H158" s="23" t="n"/>
      <c r="I158" s="18" t="n"/>
      <c r="J158" s="18" t="n"/>
      <c r="K158" s="18" t="n"/>
      <c r="L158" s="23" t="n"/>
      <c r="M158" s="26">
        <f>IF(OR(F158="",J158&lt;&gt;"Yes"),"",DATE(YEAR(TODAY()),MONTH(TODAY())+(DAY(TODAY())&gt;F158),MIN(F158,DAY(EOMONTH(DATE(YEAR(TODAY()),MONTH(TODAY())+(DAY(TODAY())&gt;F158),1),0)))))</f>
        <v/>
      </c>
      <c r="N158" s="18" t="n"/>
    </row>
    <row r="159">
      <c r="A159" s="18" t="n"/>
      <c r="B159" s="18" t="n"/>
      <c r="C159" s="18" t="n"/>
      <c r="D159" s="18" t="n"/>
      <c r="E159" s="25" t="n"/>
      <c r="F159" s="18" t="n"/>
      <c r="G159" s="23" t="n"/>
      <c r="H159" s="23" t="n"/>
      <c r="I159" s="18" t="n"/>
      <c r="J159" s="18" t="n"/>
      <c r="K159" s="18" t="n"/>
      <c r="L159" s="23" t="n"/>
      <c r="M159" s="26">
        <f>IF(OR(F159="",J159&lt;&gt;"Yes"),"",DATE(YEAR(TODAY()),MONTH(TODAY())+(DAY(TODAY())&gt;F159),MIN(F159,DAY(EOMONTH(DATE(YEAR(TODAY()),MONTH(TODAY())+(DAY(TODAY())&gt;F159),1),0)))))</f>
        <v/>
      </c>
      <c r="N159" s="18" t="n"/>
    </row>
    <row r="160">
      <c r="A160" s="18" t="n"/>
      <c r="B160" s="18" t="n"/>
      <c r="C160" s="18" t="n"/>
      <c r="D160" s="18" t="n"/>
      <c r="E160" s="25" t="n"/>
      <c r="F160" s="18" t="n"/>
      <c r="G160" s="23" t="n"/>
      <c r="H160" s="23" t="n"/>
      <c r="I160" s="18" t="n"/>
      <c r="J160" s="18" t="n"/>
      <c r="K160" s="18" t="n"/>
      <c r="L160" s="23" t="n"/>
      <c r="M160" s="26">
        <f>IF(OR(F160="",J160&lt;&gt;"Yes"),"",DATE(YEAR(TODAY()),MONTH(TODAY())+(DAY(TODAY())&gt;F160),MIN(F160,DAY(EOMONTH(DATE(YEAR(TODAY()),MONTH(TODAY())+(DAY(TODAY())&gt;F160),1),0)))))</f>
        <v/>
      </c>
      <c r="N160" s="18" t="n"/>
    </row>
    <row r="161">
      <c r="A161" s="18" t="n"/>
      <c r="B161" s="18" t="n"/>
      <c r="C161" s="18" t="n"/>
      <c r="D161" s="18" t="n"/>
      <c r="E161" s="25" t="n"/>
      <c r="F161" s="18" t="n"/>
      <c r="G161" s="23" t="n"/>
      <c r="H161" s="23" t="n"/>
      <c r="I161" s="18" t="n"/>
      <c r="J161" s="18" t="n"/>
      <c r="K161" s="18" t="n"/>
      <c r="L161" s="23" t="n"/>
      <c r="M161" s="26">
        <f>IF(OR(F161="",J161&lt;&gt;"Yes"),"",DATE(YEAR(TODAY()),MONTH(TODAY())+(DAY(TODAY())&gt;F161),MIN(F161,DAY(EOMONTH(DATE(YEAR(TODAY()),MONTH(TODAY())+(DAY(TODAY())&gt;F161),1),0)))))</f>
        <v/>
      </c>
      <c r="N161" s="18" t="n"/>
    </row>
    <row r="162">
      <c r="A162" s="18" t="n"/>
      <c r="B162" s="18" t="n"/>
      <c r="C162" s="18" t="n"/>
      <c r="D162" s="18" t="n"/>
      <c r="E162" s="25" t="n"/>
      <c r="F162" s="18" t="n"/>
      <c r="G162" s="23" t="n"/>
      <c r="H162" s="23" t="n"/>
      <c r="I162" s="18" t="n"/>
      <c r="J162" s="18" t="n"/>
      <c r="K162" s="18" t="n"/>
      <c r="L162" s="23" t="n"/>
      <c r="M162" s="26">
        <f>IF(OR(F162="",J162&lt;&gt;"Yes"),"",DATE(YEAR(TODAY()),MONTH(TODAY())+(DAY(TODAY())&gt;F162),MIN(F162,DAY(EOMONTH(DATE(YEAR(TODAY()),MONTH(TODAY())+(DAY(TODAY())&gt;F162),1),0)))))</f>
        <v/>
      </c>
      <c r="N162" s="18" t="n"/>
    </row>
    <row r="163">
      <c r="A163" s="18" t="n"/>
      <c r="B163" s="18" t="n"/>
      <c r="C163" s="18" t="n"/>
      <c r="D163" s="18" t="n"/>
      <c r="E163" s="25" t="n"/>
      <c r="F163" s="18" t="n"/>
      <c r="G163" s="23" t="n"/>
      <c r="H163" s="23" t="n"/>
      <c r="I163" s="18" t="n"/>
      <c r="J163" s="18" t="n"/>
      <c r="K163" s="18" t="n"/>
      <c r="L163" s="23" t="n"/>
      <c r="M163" s="26">
        <f>IF(OR(F163="",J163&lt;&gt;"Yes"),"",DATE(YEAR(TODAY()),MONTH(TODAY())+(DAY(TODAY())&gt;F163),MIN(F163,DAY(EOMONTH(DATE(YEAR(TODAY()),MONTH(TODAY())+(DAY(TODAY())&gt;F163),1),0)))))</f>
        <v/>
      </c>
      <c r="N163" s="18" t="n"/>
    </row>
    <row r="164">
      <c r="A164" s="18" t="n"/>
      <c r="B164" s="18" t="n"/>
      <c r="C164" s="18" t="n"/>
      <c r="D164" s="18" t="n"/>
      <c r="E164" s="25" t="n"/>
      <c r="F164" s="18" t="n"/>
      <c r="G164" s="23" t="n"/>
      <c r="H164" s="23" t="n"/>
      <c r="I164" s="18" t="n"/>
      <c r="J164" s="18" t="n"/>
      <c r="K164" s="18" t="n"/>
      <c r="L164" s="23" t="n"/>
      <c r="M164" s="26">
        <f>IF(OR(F164="",J164&lt;&gt;"Yes"),"",DATE(YEAR(TODAY()),MONTH(TODAY())+(DAY(TODAY())&gt;F164),MIN(F164,DAY(EOMONTH(DATE(YEAR(TODAY()),MONTH(TODAY())+(DAY(TODAY())&gt;F164),1),0)))))</f>
        <v/>
      </c>
      <c r="N164" s="18" t="n"/>
    </row>
    <row r="165">
      <c r="A165" s="18" t="n"/>
      <c r="B165" s="18" t="n"/>
      <c r="C165" s="18" t="n"/>
      <c r="D165" s="18" t="n"/>
      <c r="E165" s="25" t="n"/>
      <c r="F165" s="18" t="n"/>
      <c r="G165" s="23" t="n"/>
      <c r="H165" s="23" t="n"/>
      <c r="I165" s="18" t="n"/>
      <c r="J165" s="18" t="n"/>
      <c r="K165" s="18" t="n"/>
      <c r="L165" s="23" t="n"/>
      <c r="M165" s="26">
        <f>IF(OR(F165="",J165&lt;&gt;"Yes"),"",DATE(YEAR(TODAY()),MONTH(TODAY())+(DAY(TODAY())&gt;F165),MIN(F165,DAY(EOMONTH(DATE(YEAR(TODAY()),MONTH(TODAY())+(DAY(TODAY())&gt;F165),1),0)))))</f>
        <v/>
      </c>
      <c r="N165" s="18" t="n"/>
    </row>
    <row r="166">
      <c r="A166" s="18" t="n"/>
      <c r="B166" s="18" t="n"/>
      <c r="C166" s="18" t="n"/>
      <c r="D166" s="18" t="n"/>
      <c r="E166" s="25" t="n"/>
      <c r="F166" s="18" t="n"/>
      <c r="G166" s="23" t="n"/>
      <c r="H166" s="23" t="n"/>
      <c r="I166" s="18" t="n"/>
      <c r="J166" s="18" t="n"/>
      <c r="K166" s="18" t="n"/>
      <c r="L166" s="23" t="n"/>
      <c r="M166" s="26">
        <f>IF(OR(F166="",J166&lt;&gt;"Yes"),"",DATE(YEAR(TODAY()),MONTH(TODAY())+(DAY(TODAY())&gt;F166),MIN(F166,DAY(EOMONTH(DATE(YEAR(TODAY()),MONTH(TODAY())+(DAY(TODAY())&gt;F166),1),0)))))</f>
        <v/>
      </c>
      <c r="N166" s="18" t="n"/>
    </row>
    <row r="167">
      <c r="A167" s="18" t="n"/>
      <c r="B167" s="18" t="n"/>
      <c r="C167" s="18" t="n"/>
      <c r="D167" s="18" t="n"/>
      <c r="E167" s="25" t="n"/>
      <c r="F167" s="18" t="n"/>
      <c r="G167" s="23" t="n"/>
      <c r="H167" s="23" t="n"/>
      <c r="I167" s="18" t="n"/>
      <c r="J167" s="18" t="n"/>
      <c r="K167" s="18" t="n"/>
      <c r="L167" s="23" t="n"/>
      <c r="M167" s="26">
        <f>IF(OR(F167="",J167&lt;&gt;"Yes"),"",DATE(YEAR(TODAY()),MONTH(TODAY())+(DAY(TODAY())&gt;F167),MIN(F167,DAY(EOMONTH(DATE(YEAR(TODAY()),MONTH(TODAY())+(DAY(TODAY())&gt;F167),1),0)))))</f>
        <v/>
      </c>
      <c r="N167" s="18" t="n"/>
    </row>
    <row r="168">
      <c r="A168" s="18" t="n"/>
      <c r="B168" s="18" t="n"/>
      <c r="C168" s="18" t="n"/>
      <c r="D168" s="18" t="n"/>
      <c r="E168" s="25" t="n"/>
      <c r="F168" s="18" t="n"/>
      <c r="G168" s="23" t="n"/>
      <c r="H168" s="23" t="n"/>
      <c r="I168" s="18" t="n"/>
      <c r="J168" s="18" t="n"/>
      <c r="K168" s="18" t="n"/>
      <c r="L168" s="23" t="n"/>
      <c r="M168" s="26">
        <f>IF(OR(F168="",J168&lt;&gt;"Yes"),"",DATE(YEAR(TODAY()),MONTH(TODAY())+(DAY(TODAY())&gt;F168),MIN(F168,DAY(EOMONTH(DATE(YEAR(TODAY()),MONTH(TODAY())+(DAY(TODAY())&gt;F168),1),0)))))</f>
        <v/>
      </c>
      <c r="N168" s="18" t="n"/>
    </row>
    <row r="169">
      <c r="A169" s="18" t="n"/>
      <c r="B169" s="18" t="n"/>
      <c r="C169" s="18" t="n"/>
      <c r="D169" s="18" t="n"/>
      <c r="E169" s="25" t="n"/>
      <c r="F169" s="18" t="n"/>
      <c r="G169" s="23" t="n"/>
      <c r="H169" s="23" t="n"/>
      <c r="I169" s="18" t="n"/>
      <c r="J169" s="18" t="n"/>
      <c r="K169" s="18" t="n"/>
      <c r="L169" s="23" t="n"/>
      <c r="M169" s="26">
        <f>IF(OR(F169="",J169&lt;&gt;"Yes"),"",DATE(YEAR(TODAY()),MONTH(TODAY())+(DAY(TODAY())&gt;F169),MIN(F169,DAY(EOMONTH(DATE(YEAR(TODAY()),MONTH(TODAY())+(DAY(TODAY())&gt;F169),1),0)))))</f>
        <v/>
      </c>
      <c r="N169" s="18" t="n"/>
    </row>
    <row r="170">
      <c r="A170" s="18" t="n"/>
      <c r="B170" s="18" t="n"/>
      <c r="C170" s="18" t="n"/>
      <c r="D170" s="18" t="n"/>
      <c r="E170" s="25" t="n"/>
      <c r="F170" s="18" t="n"/>
      <c r="G170" s="23" t="n"/>
      <c r="H170" s="23" t="n"/>
      <c r="I170" s="18" t="n"/>
      <c r="J170" s="18" t="n"/>
      <c r="K170" s="18" t="n"/>
      <c r="L170" s="23" t="n"/>
      <c r="M170" s="26">
        <f>IF(OR(F170="",J170&lt;&gt;"Yes"),"",DATE(YEAR(TODAY()),MONTH(TODAY())+(DAY(TODAY())&gt;F170),MIN(F170,DAY(EOMONTH(DATE(YEAR(TODAY()),MONTH(TODAY())+(DAY(TODAY())&gt;F170),1),0)))))</f>
        <v/>
      </c>
      <c r="N170" s="18" t="n"/>
    </row>
    <row r="171">
      <c r="A171" s="18" t="n"/>
      <c r="B171" s="18" t="n"/>
      <c r="C171" s="18" t="n"/>
      <c r="D171" s="18" t="n"/>
      <c r="E171" s="25" t="n"/>
      <c r="F171" s="18" t="n"/>
      <c r="G171" s="23" t="n"/>
      <c r="H171" s="23" t="n"/>
      <c r="I171" s="18" t="n"/>
      <c r="J171" s="18" t="n"/>
      <c r="K171" s="18" t="n"/>
      <c r="L171" s="23" t="n"/>
      <c r="M171" s="26">
        <f>IF(OR(F171="",J171&lt;&gt;"Yes"),"",DATE(YEAR(TODAY()),MONTH(TODAY())+(DAY(TODAY())&gt;F171),MIN(F171,DAY(EOMONTH(DATE(YEAR(TODAY()),MONTH(TODAY())+(DAY(TODAY())&gt;F171),1),0)))))</f>
        <v/>
      </c>
      <c r="N171" s="18" t="n"/>
    </row>
    <row r="172">
      <c r="A172" s="18" t="n"/>
      <c r="B172" s="18" t="n"/>
      <c r="C172" s="18" t="n"/>
      <c r="D172" s="18" t="n"/>
      <c r="E172" s="25" t="n"/>
      <c r="F172" s="18" t="n"/>
      <c r="G172" s="23" t="n"/>
      <c r="H172" s="23" t="n"/>
      <c r="I172" s="18" t="n"/>
      <c r="J172" s="18" t="n"/>
      <c r="K172" s="18" t="n"/>
      <c r="L172" s="23" t="n"/>
      <c r="M172" s="26">
        <f>IF(OR(F172="",J172&lt;&gt;"Yes"),"",DATE(YEAR(TODAY()),MONTH(TODAY())+(DAY(TODAY())&gt;F172),MIN(F172,DAY(EOMONTH(DATE(YEAR(TODAY()),MONTH(TODAY())+(DAY(TODAY())&gt;F172),1),0)))))</f>
        <v/>
      </c>
      <c r="N172" s="18" t="n"/>
    </row>
    <row r="173">
      <c r="A173" s="18" t="n"/>
      <c r="B173" s="18" t="n"/>
      <c r="C173" s="18" t="n"/>
      <c r="D173" s="18" t="n"/>
      <c r="E173" s="25" t="n"/>
      <c r="F173" s="18" t="n"/>
      <c r="G173" s="23" t="n"/>
      <c r="H173" s="23" t="n"/>
      <c r="I173" s="18" t="n"/>
      <c r="J173" s="18" t="n"/>
      <c r="K173" s="18" t="n"/>
      <c r="L173" s="23" t="n"/>
      <c r="M173" s="26">
        <f>IF(OR(F173="",J173&lt;&gt;"Yes"),"",DATE(YEAR(TODAY()),MONTH(TODAY())+(DAY(TODAY())&gt;F173),MIN(F173,DAY(EOMONTH(DATE(YEAR(TODAY()),MONTH(TODAY())+(DAY(TODAY())&gt;F173),1),0)))))</f>
        <v/>
      </c>
      <c r="N173" s="18" t="n"/>
    </row>
    <row r="174">
      <c r="A174" s="18" t="n"/>
      <c r="B174" s="18" t="n"/>
      <c r="C174" s="18" t="n"/>
      <c r="D174" s="18" t="n"/>
      <c r="E174" s="25" t="n"/>
      <c r="F174" s="18" t="n"/>
      <c r="G174" s="23" t="n"/>
      <c r="H174" s="23" t="n"/>
      <c r="I174" s="18" t="n"/>
      <c r="J174" s="18" t="n"/>
      <c r="K174" s="18" t="n"/>
      <c r="L174" s="23" t="n"/>
      <c r="M174" s="26">
        <f>IF(OR(F174="",J174&lt;&gt;"Yes"),"",DATE(YEAR(TODAY()),MONTH(TODAY())+(DAY(TODAY())&gt;F174),MIN(F174,DAY(EOMONTH(DATE(YEAR(TODAY()),MONTH(TODAY())+(DAY(TODAY())&gt;F174),1),0)))))</f>
        <v/>
      </c>
      <c r="N174" s="18" t="n"/>
    </row>
    <row r="175">
      <c r="A175" s="18" t="n"/>
      <c r="B175" s="18" t="n"/>
      <c r="C175" s="18" t="n"/>
      <c r="D175" s="18" t="n"/>
      <c r="E175" s="25" t="n"/>
      <c r="F175" s="18" t="n"/>
      <c r="G175" s="23" t="n"/>
      <c r="H175" s="23" t="n"/>
      <c r="I175" s="18" t="n"/>
      <c r="J175" s="18" t="n"/>
      <c r="K175" s="18" t="n"/>
      <c r="L175" s="23" t="n"/>
      <c r="M175" s="26">
        <f>IF(OR(F175="",J175&lt;&gt;"Yes"),"",DATE(YEAR(TODAY()),MONTH(TODAY())+(DAY(TODAY())&gt;F175),MIN(F175,DAY(EOMONTH(DATE(YEAR(TODAY()),MONTH(TODAY())+(DAY(TODAY())&gt;F175),1),0)))))</f>
        <v/>
      </c>
      <c r="N175" s="18" t="n"/>
    </row>
    <row r="176">
      <c r="A176" s="18" t="n"/>
      <c r="B176" s="18" t="n"/>
      <c r="C176" s="18" t="n"/>
      <c r="D176" s="18" t="n"/>
      <c r="E176" s="25" t="n"/>
      <c r="F176" s="18" t="n"/>
      <c r="G176" s="23" t="n"/>
      <c r="H176" s="23" t="n"/>
      <c r="I176" s="18" t="n"/>
      <c r="J176" s="18" t="n"/>
      <c r="K176" s="18" t="n"/>
      <c r="L176" s="23" t="n"/>
      <c r="M176" s="26">
        <f>IF(OR(F176="",J176&lt;&gt;"Yes"),"",DATE(YEAR(TODAY()),MONTH(TODAY())+(DAY(TODAY())&gt;F176),MIN(F176,DAY(EOMONTH(DATE(YEAR(TODAY()),MONTH(TODAY())+(DAY(TODAY())&gt;F176),1),0)))))</f>
        <v/>
      </c>
      <c r="N176" s="18" t="n"/>
    </row>
    <row r="177">
      <c r="A177" s="18" t="n"/>
      <c r="B177" s="18" t="n"/>
      <c r="C177" s="18" t="n"/>
      <c r="D177" s="18" t="n"/>
      <c r="E177" s="25" t="n"/>
      <c r="F177" s="18" t="n"/>
      <c r="G177" s="23" t="n"/>
      <c r="H177" s="23" t="n"/>
      <c r="I177" s="18" t="n"/>
      <c r="J177" s="18" t="n"/>
      <c r="K177" s="18" t="n"/>
      <c r="L177" s="23" t="n"/>
      <c r="M177" s="26">
        <f>IF(OR(F177="",J177&lt;&gt;"Yes"),"",DATE(YEAR(TODAY()),MONTH(TODAY())+(DAY(TODAY())&gt;F177),MIN(F177,DAY(EOMONTH(DATE(YEAR(TODAY()),MONTH(TODAY())+(DAY(TODAY())&gt;F177),1),0)))))</f>
        <v/>
      </c>
      <c r="N177" s="18" t="n"/>
    </row>
    <row r="178">
      <c r="A178" s="18" t="n"/>
      <c r="B178" s="18" t="n"/>
      <c r="C178" s="18" t="n"/>
      <c r="D178" s="18" t="n"/>
      <c r="E178" s="25" t="n"/>
      <c r="F178" s="18" t="n"/>
      <c r="G178" s="23" t="n"/>
      <c r="H178" s="23" t="n"/>
      <c r="I178" s="18" t="n"/>
      <c r="J178" s="18" t="n"/>
      <c r="K178" s="18" t="n"/>
      <c r="L178" s="23" t="n"/>
      <c r="M178" s="26">
        <f>IF(OR(F178="",J178&lt;&gt;"Yes"),"",DATE(YEAR(TODAY()),MONTH(TODAY())+(DAY(TODAY())&gt;F178),MIN(F178,DAY(EOMONTH(DATE(YEAR(TODAY()),MONTH(TODAY())+(DAY(TODAY())&gt;F178),1),0)))))</f>
        <v/>
      </c>
      <c r="N178" s="18" t="n"/>
    </row>
    <row r="179">
      <c r="A179" s="18" t="n"/>
      <c r="B179" s="18" t="n"/>
      <c r="C179" s="18" t="n"/>
      <c r="D179" s="18" t="n"/>
      <c r="E179" s="25" t="n"/>
      <c r="F179" s="18" t="n"/>
      <c r="G179" s="23" t="n"/>
      <c r="H179" s="23" t="n"/>
      <c r="I179" s="18" t="n"/>
      <c r="J179" s="18" t="n"/>
      <c r="K179" s="18" t="n"/>
      <c r="L179" s="23" t="n"/>
      <c r="M179" s="26">
        <f>IF(OR(F179="",J179&lt;&gt;"Yes"),"",DATE(YEAR(TODAY()),MONTH(TODAY())+(DAY(TODAY())&gt;F179),MIN(F179,DAY(EOMONTH(DATE(YEAR(TODAY()),MONTH(TODAY())+(DAY(TODAY())&gt;F179),1),0)))))</f>
        <v/>
      </c>
      <c r="N179" s="18" t="n"/>
    </row>
    <row r="180">
      <c r="A180" s="18" t="n"/>
      <c r="B180" s="18" t="n"/>
      <c r="C180" s="18" t="n"/>
      <c r="D180" s="18" t="n"/>
      <c r="E180" s="25" t="n"/>
      <c r="F180" s="18" t="n"/>
      <c r="G180" s="23" t="n"/>
      <c r="H180" s="23" t="n"/>
      <c r="I180" s="18" t="n"/>
      <c r="J180" s="18" t="n"/>
      <c r="K180" s="18" t="n"/>
      <c r="L180" s="23" t="n"/>
      <c r="M180" s="26">
        <f>IF(OR(F180="",J180&lt;&gt;"Yes"),"",DATE(YEAR(TODAY()),MONTH(TODAY())+(DAY(TODAY())&gt;F180),MIN(F180,DAY(EOMONTH(DATE(YEAR(TODAY()),MONTH(TODAY())+(DAY(TODAY())&gt;F180),1),0)))))</f>
        <v/>
      </c>
      <c r="N180" s="18" t="n"/>
    </row>
    <row r="181">
      <c r="A181" s="18" t="n"/>
      <c r="B181" s="18" t="n"/>
      <c r="C181" s="18" t="n"/>
      <c r="D181" s="18" t="n"/>
      <c r="E181" s="25" t="n"/>
      <c r="F181" s="18" t="n"/>
      <c r="G181" s="23" t="n"/>
      <c r="H181" s="23" t="n"/>
      <c r="I181" s="18" t="n"/>
      <c r="J181" s="18" t="n"/>
      <c r="K181" s="18" t="n"/>
      <c r="L181" s="23" t="n"/>
      <c r="M181" s="26">
        <f>IF(OR(F181="",J181&lt;&gt;"Yes"),"",DATE(YEAR(TODAY()),MONTH(TODAY())+(DAY(TODAY())&gt;F181),MIN(F181,DAY(EOMONTH(DATE(YEAR(TODAY()),MONTH(TODAY())+(DAY(TODAY())&gt;F181),1),0)))))</f>
        <v/>
      </c>
      <c r="N181" s="18" t="n"/>
    </row>
    <row r="182">
      <c r="A182" s="18" t="n"/>
      <c r="B182" s="18" t="n"/>
      <c r="C182" s="18" t="n"/>
      <c r="D182" s="18" t="n"/>
      <c r="E182" s="25" t="n"/>
      <c r="F182" s="18" t="n"/>
      <c r="G182" s="23" t="n"/>
      <c r="H182" s="23" t="n"/>
      <c r="I182" s="18" t="n"/>
      <c r="J182" s="18" t="n"/>
      <c r="K182" s="18" t="n"/>
      <c r="L182" s="23" t="n"/>
      <c r="M182" s="26">
        <f>IF(OR(F182="",J182&lt;&gt;"Yes"),"",DATE(YEAR(TODAY()),MONTH(TODAY())+(DAY(TODAY())&gt;F182),MIN(F182,DAY(EOMONTH(DATE(YEAR(TODAY()),MONTH(TODAY())+(DAY(TODAY())&gt;F182),1),0)))))</f>
        <v/>
      </c>
      <c r="N182" s="18" t="n"/>
    </row>
    <row r="183">
      <c r="A183" s="18" t="n"/>
      <c r="B183" s="18" t="n"/>
      <c r="C183" s="18" t="n"/>
      <c r="D183" s="18" t="n"/>
      <c r="E183" s="25" t="n"/>
      <c r="F183" s="18" t="n"/>
      <c r="G183" s="23" t="n"/>
      <c r="H183" s="23" t="n"/>
      <c r="I183" s="18" t="n"/>
      <c r="J183" s="18" t="n"/>
      <c r="K183" s="18" t="n"/>
      <c r="L183" s="23" t="n"/>
      <c r="M183" s="26">
        <f>IF(OR(F183="",J183&lt;&gt;"Yes"),"",DATE(YEAR(TODAY()),MONTH(TODAY())+(DAY(TODAY())&gt;F183),MIN(F183,DAY(EOMONTH(DATE(YEAR(TODAY()),MONTH(TODAY())+(DAY(TODAY())&gt;F183),1),0)))))</f>
        <v/>
      </c>
      <c r="N183" s="18" t="n"/>
    </row>
    <row r="184">
      <c r="A184" s="18" t="n"/>
      <c r="B184" s="18" t="n"/>
      <c r="C184" s="18" t="n"/>
      <c r="D184" s="18" t="n"/>
      <c r="E184" s="25" t="n"/>
      <c r="F184" s="18" t="n"/>
      <c r="G184" s="23" t="n"/>
      <c r="H184" s="23" t="n"/>
      <c r="I184" s="18" t="n"/>
      <c r="J184" s="18" t="n"/>
      <c r="K184" s="18" t="n"/>
      <c r="L184" s="23" t="n"/>
      <c r="M184" s="26">
        <f>IF(OR(F184="",J184&lt;&gt;"Yes"),"",DATE(YEAR(TODAY()),MONTH(TODAY())+(DAY(TODAY())&gt;F184),MIN(F184,DAY(EOMONTH(DATE(YEAR(TODAY()),MONTH(TODAY())+(DAY(TODAY())&gt;F184),1),0)))))</f>
        <v/>
      </c>
      <c r="N184" s="18" t="n"/>
    </row>
    <row r="185">
      <c r="A185" s="18" t="n"/>
      <c r="B185" s="18" t="n"/>
      <c r="C185" s="18" t="n"/>
      <c r="D185" s="18" t="n"/>
      <c r="E185" s="25" t="n"/>
      <c r="F185" s="18" t="n"/>
      <c r="G185" s="23" t="n"/>
      <c r="H185" s="23" t="n"/>
      <c r="I185" s="18" t="n"/>
      <c r="J185" s="18" t="n"/>
      <c r="K185" s="18" t="n"/>
      <c r="L185" s="23" t="n"/>
      <c r="M185" s="26">
        <f>IF(OR(F185="",J185&lt;&gt;"Yes"),"",DATE(YEAR(TODAY()),MONTH(TODAY())+(DAY(TODAY())&gt;F185),MIN(F185,DAY(EOMONTH(DATE(YEAR(TODAY()),MONTH(TODAY())+(DAY(TODAY())&gt;F185),1),0)))))</f>
        <v/>
      </c>
      <c r="N185" s="18" t="n"/>
    </row>
    <row r="186">
      <c r="A186" s="18" t="n"/>
      <c r="B186" s="18" t="n"/>
      <c r="C186" s="18" t="n"/>
      <c r="D186" s="18" t="n"/>
      <c r="E186" s="25" t="n"/>
      <c r="F186" s="18" t="n"/>
      <c r="G186" s="23" t="n"/>
      <c r="H186" s="23" t="n"/>
      <c r="I186" s="18" t="n"/>
      <c r="J186" s="18" t="n"/>
      <c r="K186" s="18" t="n"/>
      <c r="L186" s="23" t="n"/>
      <c r="M186" s="26">
        <f>IF(OR(F186="",J186&lt;&gt;"Yes"),"",DATE(YEAR(TODAY()),MONTH(TODAY())+(DAY(TODAY())&gt;F186),MIN(F186,DAY(EOMONTH(DATE(YEAR(TODAY()),MONTH(TODAY())+(DAY(TODAY())&gt;F186),1),0)))))</f>
        <v/>
      </c>
      <c r="N186" s="18" t="n"/>
    </row>
    <row r="187">
      <c r="A187" s="18" t="n"/>
      <c r="B187" s="18" t="n"/>
      <c r="C187" s="18" t="n"/>
      <c r="D187" s="18" t="n"/>
      <c r="E187" s="25" t="n"/>
      <c r="F187" s="18" t="n"/>
      <c r="G187" s="23" t="n"/>
      <c r="H187" s="23" t="n"/>
      <c r="I187" s="18" t="n"/>
      <c r="J187" s="18" t="n"/>
      <c r="K187" s="18" t="n"/>
      <c r="L187" s="23" t="n"/>
      <c r="M187" s="26">
        <f>IF(OR(F187="",J187&lt;&gt;"Yes"),"",DATE(YEAR(TODAY()),MONTH(TODAY())+(DAY(TODAY())&gt;F187),MIN(F187,DAY(EOMONTH(DATE(YEAR(TODAY()),MONTH(TODAY())+(DAY(TODAY())&gt;F187),1),0)))))</f>
        <v/>
      </c>
      <c r="N187" s="18" t="n"/>
    </row>
    <row r="188">
      <c r="A188" s="18" t="n"/>
      <c r="B188" s="18" t="n"/>
      <c r="C188" s="18" t="n"/>
      <c r="D188" s="18" t="n"/>
      <c r="E188" s="25" t="n"/>
      <c r="F188" s="18" t="n"/>
      <c r="G188" s="23" t="n"/>
      <c r="H188" s="23" t="n"/>
      <c r="I188" s="18" t="n"/>
      <c r="J188" s="18" t="n"/>
      <c r="K188" s="18" t="n"/>
      <c r="L188" s="23" t="n"/>
      <c r="M188" s="26">
        <f>IF(OR(F188="",J188&lt;&gt;"Yes"),"",DATE(YEAR(TODAY()),MONTH(TODAY())+(DAY(TODAY())&gt;F188),MIN(F188,DAY(EOMONTH(DATE(YEAR(TODAY()),MONTH(TODAY())+(DAY(TODAY())&gt;F188),1),0)))))</f>
        <v/>
      </c>
      <c r="N188" s="18" t="n"/>
    </row>
    <row r="189">
      <c r="A189" s="18" t="n"/>
      <c r="B189" s="18" t="n"/>
      <c r="C189" s="18" t="n"/>
      <c r="D189" s="18" t="n"/>
      <c r="E189" s="25" t="n"/>
      <c r="F189" s="18" t="n"/>
      <c r="G189" s="23" t="n"/>
      <c r="H189" s="23" t="n"/>
      <c r="I189" s="18" t="n"/>
      <c r="J189" s="18" t="n"/>
      <c r="K189" s="18" t="n"/>
      <c r="L189" s="23" t="n"/>
      <c r="M189" s="26">
        <f>IF(OR(F189="",J189&lt;&gt;"Yes"),"",DATE(YEAR(TODAY()),MONTH(TODAY())+(DAY(TODAY())&gt;F189),MIN(F189,DAY(EOMONTH(DATE(YEAR(TODAY()),MONTH(TODAY())+(DAY(TODAY())&gt;F189),1),0)))))</f>
        <v/>
      </c>
      <c r="N189" s="18" t="n"/>
    </row>
    <row r="190">
      <c r="A190" s="18" t="n"/>
      <c r="B190" s="18" t="n"/>
      <c r="C190" s="18" t="n"/>
      <c r="D190" s="18" t="n"/>
      <c r="E190" s="25" t="n"/>
      <c r="F190" s="18" t="n"/>
      <c r="G190" s="23" t="n"/>
      <c r="H190" s="23" t="n"/>
      <c r="I190" s="18" t="n"/>
      <c r="J190" s="18" t="n"/>
      <c r="K190" s="18" t="n"/>
      <c r="L190" s="23" t="n"/>
      <c r="M190" s="26">
        <f>IF(OR(F190="",J190&lt;&gt;"Yes"),"",DATE(YEAR(TODAY()),MONTH(TODAY())+(DAY(TODAY())&gt;F190),MIN(F190,DAY(EOMONTH(DATE(YEAR(TODAY()),MONTH(TODAY())+(DAY(TODAY())&gt;F190),1),0)))))</f>
        <v/>
      </c>
      <c r="N190" s="18" t="n"/>
    </row>
    <row r="191">
      <c r="A191" s="18" t="n"/>
      <c r="B191" s="18" t="n"/>
      <c r="C191" s="18" t="n"/>
      <c r="D191" s="18" t="n"/>
      <c r="E191" s="25" t="n"/>
      <c r="F191" s="18" t="n"/>
      <c r="G191" s="23" t="n"/>
      <c r="H191" s="23" t="n"/>
      <c r="I191" s="18" t="n"/>
      <c r="J191" s="18" t="n"/>
      <c r="K191" s="18" t="n"/>
      <c r="L191" s="23" t="n"/>
      <c r="M191" s="26">
        <f>IF(OR(F191="",J191&lt;&gt;"Yes"),"",DATE(YEAR(TODAY()),MONTH(TODAY())+(DAY(TODAY())&gt;F191),MIN(F191,DAY(EOMONTH(DATE(YEAR(TODAY()),MONTH(TODAY())+(DAY(TODAY())&gt;F191),1),0)))))</f>
        <v/>
      </c>
      <c r="N191" s="18" t="n"/>
    </row>
    <row r="192">
      <c r="A192" s="18" t="n"/>
      <c r="B192" s="18" t="n"/>
      <c r="C192" s="18" t="n"/>
      <c r="D192" s="18" t="n"/>
      <c r="E192" s="25" t="n"/>
      <c r="F192" s="18" t="n"/>
      <c r="G192" s="23" t="n"/>
      <c r="H192" s="23" t="n"/>
      <c r="I192" s="18" t="n"/>
      <c r="J192" s="18" t="n"/>
      <c r="K192" s="18" t="n"/>
      <c r="L192" s="23" t="n"/>
      <c r="M192" s="26">
        <f>IF(OR(F192="",J192&lt;&gt;"Yes"),"",DATE(YEAR(TODAY()),MONTH(TODAY())+(DAY(TODAY())&gt;F192),MIN(F192,DAY(EOMONTH(DATE(YEAR(TODAY()),MONTH(TODAY())+(DAY(TODAY())&gt;F192),1),0)))))</f>
        <v/>
      </c>
      <c r="N192" s="18" t="n"/>
    </row>
    <row r="193">
      <c r="A193" s="18" t="n"/>
      <c r="B193" s="18" t="n"/>
      <c r="C193" s="18" t="n"/>
      <c r="D193" s="18" t="n"/>
      <c r="E193" s="25" t="n"/>
      <c r="F193" s="18" t="n"/>
      <c r="G193" s="23" t="n"/>
      <c r="H193" s="23" t="n"/>
      <c r="I193" s="18" t="n"/>
      <c r="J193" s="18" t="n"/>
      <c r="K193" s="18" t="n"/>
      <c r="L193" s="23" t="n"/>
      <c r="M193" s="26">
        <f>IF(OR(F193="",J193&lt;&gt;"Yes"),"",DATE(YEAR(TODAY()),MONTH(TODAY())+(DAY(TODAY())&gt;F193),MIN(F193,DAY(EOMONTH(DATE(YEAR(TODAY()),MONTH(TODAY())+(DAY(TODAY())&gt;F193),1),0)))))</f>
        <v/>
      </c>
      <c r="N193" s="18" t="n"/>
    </row>
    <row r="194">
      <c r="A194" s="18" t="n"/>
      <c r="B194" s="18" t="n"/>
      <c r="C194" s="18" t="n"/>
      <c r="D194" s="18" t="n"/>
      <c r="E194" s="25" t="n"/>
      <c r="F194" s="18" t="n"/>
      <c r="G194" s="23" t="n"/>
      <c r="H194" s="23" t="n"/>
      <c r="I194" s="18" t="n"/>
      <c r="J194" s="18" t="n"/>
      <c r="K194" s="18" t="n"/>
      <c r="L194" s="23" t="n"/>
      <c r="M194" s="26">
        <f>IF(OR(F194="",J194&lt;&gt;"Yes"),"",DATE(YEAR(TODAY()),MONTH(TODAY())+(DAY(TODAY())&gt;F194),MIN(F194,DAY(EOMONTH(DATE(YEAR(TODAY()),MONTH(TODAY())+(DAY(TODAY())&gt;F194),1),0)))))</f>
        <v/>
      </c>
      <c r="N194" s="18" t="n"/>
    </row>
    <row r="195">
      <c r="A195" s="18" t="n"/>
      <c r="B195" s="18" t="n"/>
      <c r="C195" s="18" t="n"/>
      <c r="D195" s="18" t="n"/>
      <c r="E195" s="25" t="n"/>
      <c r="F195" s="18" t="n"/>
      <c r="G195" s="23" t="n"/>
      <c r="H195" s="23" t="n"/>
      <c r="I195" s="18" t="n"/>
      <c r="J195" s="18" t="n"/>
      <c r="K195" s="18" t="n"/>
      <c r="L195" s="23" t="n"/>
      <c r="M195" s="26">
        <f>IF(OR(F195="",J195&lt;&gt;"Yes"),"",DATE(YEAR(TODAY()),MONTH(TODAY())+(DAY(TODAY())&gt;F195),MIN(F195,DAY(EOMONTH(DATE(YEAR(TODAY()),MONTH(TODAY())+(DAY(TODAY())&gt;F195),1),0)))))</f>
        <v/>
      </c>
      <c r="N195" s="18" t="n"/>
    </row>
    <row r="196">
      <c r="A196" s="18" t="n"/>
      <c r="B196" s="18" t="n"/>
      <c r="C196" s="18" t="n"/>
      <c r="D196" s="18" t="n"/>
      <c r="E196" s="25" t="n"/>
      <c r="F196" s="18" t="n"/>
      <c r="G196" s="23" t="n"/>
      <c r="H196" s="23" t="n"/>
      <c r="I196" s="18" t="n"/>
      <c r="J196" s="18" t="n"/>
      <c r="K196" s="18" t="n"/>
      <c r="L196" s="23" t="n"/>
      <c r="M196" s="26">
        <f>IF(OR(F196="",J196&lt;&gt;"Yes"),"",DATE(YEAR(TODAY()),MONTH(TODAY())+(DAY(TODAY())&gt;F196),MIN(F196,DAY(EOMONTH(DATE(YEAR(TODAY()),MONTH(TODAY())+(DAY(TODAY())&gt;F196),1),0)))))</f>
        <v/>
      </c>
      <c r="N196" s="18" t="n"/>
    </row>
    <row r="197">
      <c r="A197" s="18" t="n"/>
      <c r="B197" s="18" t="n"/>
      <c r="C197" s="18" t="n"/>
      <c r="D197" s="18" t="n"/>
      <c r="E197" s="25" t="n"/>
      <c r="F197" s="18" t="n"/>
      <c r="G197" s="23" t="n"/>
      <c r="H197" s="23" t="n"/>
      <c r="I197" s="18" t="n"/>
      <c r="J197" s="18" t="n"/>
      <c r="K197" s="18" t="n"/>
      <c r="L197" s="23" t="n"/>
      <c r="M197" s="26">
        <f>IF(OR(F197="",J197&lt;&gt;"Yes"),"",DATE(YEAR(TODAY()),MONTH(TODAY())+(DAY(TODAY())&gt;F197),MIN(F197,DAY(EOMONTH(DATE(YEAR(TODAY()),MONTH(TODAY())+(DAY(TODAY())&gt;F197),1),0)))))</f>
        <v/>
      </c>
      <c r="N197" s="18" t="n"/>
    </row>
    <row r="198">
      <c r="A198" s="18" t="n"/>
      <c r="B198" s="18" t="n"/>
      <c r="C198" s="18" t="n"/>
      <c r="D198" s="18" t="n"/>
      <c r="E198" s="25" t="n"/>
      <c r="F198" s="18" t="n"/>
      <c r="G198" s="23" t="n"/>
      <c r="H198" s="23" t="n"/>
      <c r="I198" s="18" t="n"/>
      <c r="J198" s="18" t="n"/>
      <c r="K198" s="18" t="n"/>
      <c r="L198" s="23" t="n"/>
      <c r="M198" s="26">
        <f>IF(OR(F198="",J198&lt;&gt;"Yes"),"",DATE(YEAR(TODAY()),MONTH(TODAY())+(DAY(TODAY())&gt;F198),MIN(F198,DAY(EOMONTH(DATE(YEAR(TODAY()),MONTH(TODAY())+(DAY(TODAY())&gt;F198),1),0)))))</f>
        <v/>
      </c>
      <c r="N198" s="18" t="n"/>
    </row>
    <row r="199">
      <c r="A199" s="18" t="n"/>
      <c r="B199" s="18" t="n"/>
      <c r="C199" s="18" t="n"/>
      <c r="D199" s="18" t="n"/>
      <c r="E199" s="25" t="n"/>
      <c r="F199" s="18" t="n"/>
      <c r="G199" s="23" t="n"/>
      <c r="H199" s="23" t="n"/>
      <c r="I199" s="18" t="n"/>
      <c r="J199" s="18" t="n"/>
      <c r="K199" s="18" t="n"/>
      <c r="L199" s="23" t="n"/>
      <c r="M199" s="26">
        <f>IF(OR(F199="",J199&lt;&gt;"Yes"),"",DATE(YEAR(TODAY()),MONTH(TODAY())+(DAY(TODAY())&gt;F199),MIN(F199,DAY(EOMONTH(DATE(YEAR(TODAY()),MONTH(TODAY())+(DAY(TODAY())&gt;F199),1),0)))))</f>
        <v/>
      </c>
      <c r="N199" s="18" t="n"/>
    </row>
    <row r="200">
      <c r="A200" s="18" t="n"/>
      <c r="B200" s="18" t="n"/>
      <c r="C200" s="18" t="n"/>
      <c r="D200" s="18" t="n"/>
      <c r="E200" s="25" t="n"/>
      <c r="F200" s="18" t="n"/>
      <c r="G200" s="23" t="n"/>
      <c r="H200" s="23" t="n"/>
      <c r="I200" s="18" t="n"/>
      <c r="J200" s="18" t="n"/>
      <c r="K200" s="18" t="n"/>
      <c r="L200" s="23" t="n"/>
      <c r="M200" s="26">
        <f>IF(OR(F200="",J200&lt;&gt;"Yes"),"",DATE(YEAR(TODAY()),MONTH(TODAY())+(DAY(TODAY())&gt;F200),MIN(F200,DAY(EOMONTH(DATE(YEAR(TODAY()),MONTH(TODAY())+(DAY(TODAY())&gt;F200),1),0)))))</f>
        <v/>
      </c>
      <c r="N200" s="18" t="n"/>
    </row>
    <row r="201">
      <c r="A201" s="18" t="n"/>
      <c r="B201" s="18" t="n"/>
      <c r="C201" s="18" t="n"/>
      <c r="D201" s="18" t="n"/>
      <c r="E201" s="25" t="n"/>
      <c r="F201" s="18" t="n"/>
      <c r="G201" s="23" t="n"/>
      <c r="H201" s="23" t="n"/>
      <c r="I201" s="18" t="n"/>
      <c r="J201" s="18" t="n"/>
      <c r="K201" s="18" t="n"/>
      <c r="L201" s="23" t="n"/>
      <c r="M201" s="26">
        <f>IF(OR(F201="",J201&lt;&gt;"Yes"),"",DATE(YEAR(TODAY()),MONTH(TODAY())+(DAY(TODAY())&gt;F201),MIN(F201,DAY(EOMONTH(DATE(YEAR(TODAY()),MONTH(TODAY())+(DAY(TODAY())&gt;F201),1),0)))))</f>
        <v/>
      </c>
      <c r="N201" s="18" t="n"/>
    </row>
    <row r="202">
      <c r="A202" s="18" t="n"/>
      <c r="B202" s="18" t="n"/>
      <c r="C202" s="18" t="n"/>
      <c r="D202" s="18" t="n"/>
      <c r="E202" s="25" t="n"/>
      <c r="F202" s="18" t="n"/>
      <c r="G202" s="23" t="n"/>
      <c r="H202" s="23" t="n"/>
      <c r="I202" s="18" t="n"/>
      <c r="J202" s="18" t="n"/>
      <c r="K202" s="18" t="n"/>
      <c r="L202" s="23" t="n"/>
      <c r="M202" s="26">
        <f>IF(OR(F202="",J202&lt;&gt;"Yes"),"",DATE(YEAR(TODAY()),MONTH(TODAY())+(DAY(TODAY())&gt;F202),MIN(F202,DAY(EOMONTH(DATE(YEAR(TODAY()),MONTH(TODAY())+(DAY(TODAY())&gt;F202),1),0)))))</f>
        <v/>
      </c>
      <c r="N202" s="18" t="n"/>
    </row>
    <row r="203">
      <c r="A203" s="18" t="n"/>
      <c r="B203" s="18" t="n"/>
      <c r="C203" s="18" t="n"/>
      <c r="D203" s="18" t="n"/>
      <c r="E203" s="25" t="n"/>
      <c r="F203" s="18" t="n"/>
      <c r="G203" s="23" t="n"/>
      <c r="H203" s="23" t="n"/>
      <c r="I203" s="18" t="n"/>
      <c r="J203" s="18" t="n"/>
      <c r="K203" s="18" t="n"/>
      <c r="L203" s="23" t="n"/>
      <c r="M203" s="26">
        <f>IF(OR(F203="",J203&lt;&gt;"Yes"),"",DATE(YEAR(TODAY()),MONTH(TODAY())+(DAY(TODAY())&gt;F203),MIN(F203,DAY(EOMONTH(DATE(YEAR(TODAY()),MONTH(TODAY())+(DAY(TODAY())&gt;F203),1),0)))))</f>
        <v/>
      </c>
      <c r="N203" s="18" t="n"/>
    </row>
    <row r="204">
      <c r="A204" s="18" t="n"/>
      <c r="B204" s="18" t="n"/>
      <c r="C204" s="18" t="n"/>
      <c r="D204" s="18" t="n"/>
      <c r="E204" s="25" t="n"/>
      <c r="F204" s="18" t="n"/>
      <c r="G204" s="23" t="n"/>
      <c r="H204" s="23" t="n"/>
      <c r="I204" s="18" t="n"/>
      <c r="J204" s="18" t="n"/>
      <c r="K204" s="18" t="n"/>
      <c r="L204" s="23" t="n"/>
      <c r="M204" s="26">
        <f>IF(OR(F204="",J204&lt;&gt;"Yes"),"",DATE(YEAR(TODAY()),MONTH(TODAY())+(DAY(TODAY())&gt;F204),MIN(F204,DAY(EOMONTH(DATE(YEAR(TODAY()),MONTH(TODAY())+(DAY(TODAY())&gt;F204),1),0)))))</f>
        <v/>
      </c>
      <c r="N204" s="18" t="n"/>
    </row>
  </sheetData>
  <mergeCells count="2">
    <mergeCell ref="A2:N2"/>
    <mergeCell ref="A1:N1"/>
  </mergeCells>
  <dataValidations count="4">
    <dataValidation sqref="B5:B204" showDropDown="0" showInputMessage="0" showErrorMessage="0" allowBlank="1" errorTitle="Invalid value" error="Select a value from the list." promptTitle="Controlled input" prompt="Choose from the approved setup list." type="list">
      <formula1>='Setup &amp; Lists'!$A$5:$A$20</formula1>
    </dataValidation>
    <dataValidation sqref="C5:C204" showDropDown="0" showInputMessage="0" showErrorMessage="0" allowBlank="1" errorTitle="Invalid value" error="Select a value from the list." promptTitle="Controlled input" prompt="Choose from the approved setup list." type="list">
      <formula1>='Setup &amp; Lists'!$B$5:$B$20</formula1>
    </dataValidation>
    <dataValidation sqref="I5:I204" showDropDown="0" showInputMessage="0" showErrorMessage="0" allowBlank="1" errorTitle="Invalid value" error="Select a value from the list." promptTitle="Controlled input" prompt="Choose from the approved setup list." type="list">
      <formula1>='Setup &amp; Lists'!$C$5:$C$15</formula1>
    </dataValidation>
    <dataValidation sqref="J5:J204" showDropDown="0" showInputMessage="0" showErrorMessage="0" allowBlank="1" errorTitle="Invalid value" error="Select a value from the list." promptTitle="Controlled input" prompt="Choose from the approved setup list." type="list">
      <formula1>='Setup &amp; Lists'!$G$5:$G$6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22" customWidth="1" min="3" max="3"/>
    <col width="23" customWidth="1" min="4" max="4"/>
    <col width="22" customWidth="1" min="5" max="5"/>
    <col width="24" customWidth="1" min="6" max="6"/>
    <col width="22" customWidth="1" min="7" max="7"/>
    <col width="23" customWidth="1" min="8" max="8"/>
    <col width="18" customWidth="1" min="9" max="9"/>
    <col width="30" customWidth="1" min="10" max="10"/>
  </cols>
  <sheetData>
    <row r="1" ht="30" customHeight="1">
      <c r="A1" s="1" t="inlineStr">
        <is>
          <t>12-Month Cash Flow Forecast</t>
        </is>
      </c>
    </row>
    <row r="2" ht="24" customHeight="1">
      <c r="A2" s="2" t="inlineStr">
        <is>
          <t>دخل متوقع + التزامات فعلية + قوالب ثابتة، مع استبعاد Source Type = Fixed لمنع التكرار</t>
        </is>
      </c>
    </row>
    <row r="4" ht="32" customHeight="1">
      <c r="A4" s="17" t="inlineStr">
        <is>
          <t>Month</t>
        </is>
      </c>
      <c r="B4" s="17" t="inlineStr">
        <is>
          <t>Opening Balance (AED)</t>
        </is>
      </c>
      <c r="C4" s="17" t="inlineStr">
        <is>
          <t>Expected Income (AED)</t>
        </is>
      </c>
      <c r="D4" s="17" t="inlineStr">
        <is>
          <t>Open Commitments (AED)</t>
        </is>
      </c>
      <c r="E4" s="17" t="inlineStr">
        <is>
          <t>Fixed Templates (AED)</t>
        </is>
      </c>
      <c r="F4" s="17" t="inlineStr">
        <is>
          <t>Expected Expenses (AED)</t>
        </is>
      </c>
      <c r="G4" s="17" t="inlineStr">
        <is>
          <t>Net Cash Flow (AED)</t>
        </is>
      </c>
      <c r="H4" s="17" t="inlineStr">
        <is>
          <t>Closing Balance (AED)</t>
        </is>
      </c>
      <c r="I4" s="17" t="inlineStr">
        <is>
          <t>Liquidity Alert</t>
        </is>
      </c>
      <c r="J4" s="17" t="inlineStr">
        <is>
          <t>Notes</t>
        </is>
      </c>
    </row>
    <row r="5">
      <c r="A5" s="27">
        <f>DATE(YEAR(TODAY()),MONTH(TODAY())+0,1)</f>
        <v/>
      </c>
      <c r="B5" s="22">
        <f>SUM('Bank &amp; Cash Balances'!$I$5:$I$104)</f>
        <v/>
      </c>
      <c r="C5" s="25" t="n"/>
      <c r="D5" s="22">
        <f>SUMIFS(Commitments!$L$5:$L$504,Commitments!$E$5:$E$504,"&gt;="&amp;A5,Commitments!$E$5:$E$504,"&lt;="&amp;EOMONTH(A5,0),Commitments!$M$5:$M$504,"&lt;&gt;Paid",Commitments!$M$5:$M$504,"&lt;&gt;Cancelled",Commitments!$B$5:$B$504,"&lt;&gt;Fixed")</f>
        <v/>
      </c>
      <c r="E5" s="22">
        <f>SUMIFS('Fixed Expenses'!$E$5:$E$204,'Fixed Expenses'!$J$5:$J$204,"Yes",'Fixed Expenses'!$G$5:$G$204,"&lt;="&amp;EOMONTH(A5,0),'Fixed Expenses'!$H$5:$H$204,"&gt;="&amp;A5)+SUMIFS('Fixed Expenses'!$E$5:$E$204,'Fixed Expenses'!$J$5:$J$204,"Yes",'Fixed Expenses'!$G$5:$G$204,"&lt;="&amp;EOMONTH(A5,0),'Fixed Expenses'!$H$5:$H$204,"")</f>
        <v/>
      </c>
      <c r="F5" s="22">
        <f>D5+E5</f>
        <v/>
      </c>
      <c r="G5" s="22">
        <f>C5-F5</f>
        <v/>
      </c>
      <c r="H5" s="22">
        <f>B5+G5</f>
        <v/>
      </c>
      <c r="I5" s="24">
        <f>IF(H5&lt;0,"CASH DEFICIT",IF(H5&lt;'Setup &amp; Lists'!$M$6,"LOW LIQUIDITY","OK"))</f>
        <v/>
      </c>
      <c r="J5" s="18" t="n"/>
    </row>
    <row r="6">
      <c r="A6" s="27">
        <f>DATE(YEAR(TODAY()),MONTH(TODAY())+1,1)</f>
        <v/>
      </c>
      <c r="B6" s="22">
        <f>H5</f>
        <v/>
      </c>
      <c r="C6" s="25" t="n"/>
      <c r="D6" s="22">
        <f>SUMIFS(Commitments!$L$5:$L$504,Commitments!$E$5:$E$504,"&gt;="&amp;A6,Commitments!$E$5:$E$504,"&lt;="&amp;EOMONTH(A6,0),Commitments!$M$5:$M$504,"&lt;&gt;Paid",Commitments!$M$5:$M$504,"&lt;&gt;Cancelled",Commitments!$B$5:$B$504,"&lt;&gt;Fixed")</f>
        <v/>
      </c>
      <c r="E6" s="22">
        <f>SUMIFS('Fixed Expenses'!$E$5:$E$204,'Fixed Expenses'!$J$5:$J$204,"Yes",'Fixed Expenses'!$G$5:$G$204,"&lt;="&amp;EOMONTH(A6,0),'Fixed Expenses'!$H$5:$H$204,"&gt;="&amp;A6)+SUMIFS('Fixed Expenses'!$E$5:$E$204,'Fixed Expenses'!$J$5:$J$204,"Yes",'Fixed Expenses'!$G$5:$G$204,"&lt;="&amp;EOMONTH(A6,0),'Fixed Expenses'!$H$5:$H$204,"")</f>
        <v/>
      </c>
      <c r="F6" s="22">
        <f>D6+E6</f>
        <v/>
      </c>
      <c r="G6" s="22">
        <f>C6-F6</f>
        <v/>
      </c>
      <c r="H6" s="22">
        <f>B6+G6</f>
        <v/>
      </c>
      <c r="I6" s="24">
        <f>IF(H6&lt;0,"CASH DEFICIT",IF(H6&lt;'Setup &amp; Lists'!$M$6,"LOW LIQUIDITY","OK"))</f>
        <v/>
      </c>
      <c r="J6" s="18" t="n"/>
    </row>
    <row r="7">
      <c r="A7" s="27">
        <f>DATE(YEAR(TODAY()),MONTH(TODAY())+2,1)</f>
        <v/>
      </c>
      <c r="B7" s="22">
        <f>H6</f>
        <v/>
      </c>
      <c r="C7" s="25" t="n"/>
      <c r="D7" s="22">
        <f>SUMIFS(Commitments!$L$5:$L$504,Commitments!$E$5:$E$504,"&gt;="&amp;A7,Commitments!$E$5:$E$504,"&lt;="&amp;EOMONTH(A7,0),Commitments!$M$5:$M$504,"&lt;&gt;Paid",Commitments!$M$5:$M$504,"&lt;&gt;Cancelled",Commitments!$B$5:$B$504,"&lt;&gt;Fixed")</f>
        <v/>
      </c>
      <c r="E7" s="22">
        <f>SUMIFS('Fixed Expenses'!$E$5:$E$204,'Fixed Expenses'!$J$5:$J$204,"Yes",'Fixed Expenses'!$G$5:$G$204,"&lt;="&amp;EOMONTH(A7,0),'Fixed Expenses'!$H$5:$H$204,"&gt;="&amp;A7)+SUMIFS('Fixed Expenses'!$E$5:$E$204,'Fixed Expenses'!$J$5:$J$204,"Yes",'Fixed Expenses'!$G$5:$G$204,"&lt;="&amp;EOMONTH(A7,0),'Fixed Expenses'!$H$5:$H$204,"")</f>
        <v/>
      </c>
      <c r="F7" s="22">
        <f>D7+E7</f>
        <v/>
      </c>
      <c r="G7" s="22">
        <f>C7-F7</f>
        <v/>
      </c>
      <c r="H7" s="22">
        <f>B7+G7</f>
        <v/>
      </c>
      <c r="I7" s="24">
        <f>IF(H7&lt;0,"CASH DEFICIT",IF(H7&lt;'Setup &amp; Lists'!$M$6,"LOW LIQUIDITY","OK"))</f>
        <v/>
      </c>
      <c r="J7" s="18" t="n"/>
    </row>
    <row r="8">
      <c r="A8" s="27">
        <f>DATE(YEAR(TODAY()),MONTH(TODAY())+3,1)</f>
        <v/>
      </c>
      <c r="B8" s="22">
        <f>H7</f>
        <v/>
      </c>
      <c r="C8" s="25" t="n"/>
      <c r="D8" s="22">
        <f>SUMIFS(Commitments!$L$5:$L$504,Commitments!$E$5:$E$504,"&gt;="&amp;A8,Commitments!$E$5:$E$504,"&lt;="&amp;EOMONTH(A8,0),Commitments!$M$5:$M$504,"&lt;&gt;Paid",Commitments!$M$5:$M$504,"&lt;&gt;Cancelled",Commitments!$B$5:$B$504,"&lt;&gt;Fixed")</f>
        <v/>
      </c>
      <c r="E8" s="22">
        <f>SUMIFS('Fixed Expenses'!$E$5:$E$204,'Fixed Expenses'!$J$5:$J$204,"Yes",'Fixed Expenses'!$G$5:$G$204,"&lt;="&amp;EOMONTH(A8,0),'Fixed Expenses'!$H$5:$H$204,"&gt;="&amp;A8)+SUMIFS('Fixed Expenses'!$E$5:$E$204,'Fixed Expenses'!$J$5:$J$204,"Yes",'Fixed Expenses'!$G$5:$G$204,"&lt;="&amp;EOMONTH(A8,0),'Fixed Expenses'!$H$5:$H$204,"")</f>
        <v/>
      </c>
      <c r="F8" s="22">
        <f>D8+E8</f>
        <v/>
      </c>
      <c r="G8" s="22">
        <f>C8-F8</f>
        <v/>
      </c>
      <c r="H8" s="22">
        <f>B8+G8</f>
        <v/>
      </c>
      <c r="I8" s="24">
        <f>IF(H8&lt;0,"CASH DEFICIT",IF(H8&lt;'Setup &amp; Lists'!$M$6,"LOW LIQUIDITY","OK"))</f>
        <v/>
      </c>
      <c r="J8" s="18" t="n"/>
    </row>
    <row r="9">
      <c r="A9" s="27">
        <f>DATE(YEAR(TODAY()),MONTH(TODAY())+4,1)</f>
        <v/>
      </c>
      <c r="B9" s="22">
        <f>H8</f>
        <v/>
      </c>
      <c r="C9" s="25" t="n"/>
      <c r="D9" s="22">
        <f>SUMIFS(Commitments!$L$5:$L$504,Commitments!$E$5:$E$504,"&gt;="&amp;A9,Commitments!$E$5:$E$504,"&lt;="&amp;EOMONTH(A9,0),Commitments!$M$5:$M$504,"&lt;&gt;Paid",Commitments!$M$5:$M$504,"&lt;&gt;Cancelled",Commitments!$B$5:$B$504,"&lt;&gt;Fixed")</f>
        <v/>
      </c>
      <c r="E9" s="22">
        <f>SUMIFS('Fixed Expenses'!$E$5:$E$204,'Fixed Expenses'!$J$5:$J$204,"Yes",'Fixed Expenses'!$G$5:$G$204,"&lt;="&amp;EOMONTH(A9,0),'Fixed Expenses'!$H$5:$H$204,"&gt;="&amp;A9)+SUMIFS('Fixed Expenses'!$E$5:$E$204,'Fixed Expenses'!$J$5:$J$204,"Yes",'Fixed Expenses'!$G$5:$G$204,"&lt;="&amp;EOMONTH(A9,0),'Fixed Expenses'!$H$5:$H$204,"")</f>
        <v/>
      </c>
      <c r="F9" s="22">
        <f>D9+E9</f>
        <v/>
      </c>
      <c r="G9" s="22">
        <f>C9-F9</f>
        <v/>
      </c>
      <c r="H9" s="22">
        <f>B9+G9</f>
        <v/>
      </c>
      <c r="I9" s="24">
        <f>IF(H9&lt;0,"CASH DEFICIT",IF(H9&lt;'Setup &amp; Lists'!$M$6,"LOW LIQUIDITY","OK"))</f>
        <v/>
      </c>
      <c r="J9" s="18" t="n"/>
    </row>
    <row r="10">
      <c r="A10" s="27">
        <f>DATE(YEAR(TODAY()),MONTH(TODAY())+5,1)</f>
        <v/>
      </c>
      <c r="B10" s="22">
        <f>H9</f>
        <v/>
      </c>
      <c r="C10" s="25" t="n"/>
      <c r="D10" s="22">
        <f>SUMIFS(Commitments!$L$5:$L$504,Commitments!$E$5:$E$504,"&gt;="&amp;A10,Commitments!$E$5:$E$504,"&lt;="&amp;EOMONTH(A10,0),Commitments!$M$5:$M$504,"&lt;&gt;Paid",Commitments!$M$5:$M$504,"&lt;&gt;Cancelled",Commitments!$B$5:$B$504,"&lt;&gt;Fixed")</f>
        <v/>
      </c>
      <c r="E10" s="22">
        <f>SUMIFS('Fixed Expenses'!$E$5:$E$204,'Fixed Expenses'!$J$5:$J$204,"Yes",'Fixed Expenses'!$G$5:$G$204,"&lt;="&amp;EOMONTH(A10,0),'Fixed Expenses'!$H$5:$H$204,"&gt;="&amp;A10)+SUMIFS('Fixed Expenses'!$E$5:$E$204,'Fixed Expenses'!$J$5:$J$204,"Yes",'Fixed Expenses'!$G$5:$G$204,"&lt;="&amp;EOMONTH(A10,0),'Fixed Expenses'!$H$5:$H$204,"")</f>
        <v/>
      </c>
      <c r="F10" s="22">
        <f>D10+E10</f>
        <v/>
      </c>
      <c r="G10" s="22">
        <f>C10-F10</f>
        <v/>
      </c>
      <c r="H10" s="22">
        <f>B10+G10</f>
        <v/>
      </c>
      <c r="I10" s="24">
        <f>IF(H10&lt;0,"CASH DEFICIT",IF(H10&lt;'Setup &amp; Lists'!$M$6,"LOW LIQUIDITY","OK"))</f>
        <v/>
      </c>
      <c r="J10" s="18" t="n"/>
    </row>
    <row r="11">
      <c r="A11" s="27">
        <f>DATE(YEAR(TODAY()),MONTH(TODAY())+6,1)</f>
        <v/>
      </c>
      <c r="B11" s="22">
        <f>H10</f>
        <v/>
      </c>
      <c r="C11" s="25" t="n"/>
      <c r="D11" s="22">
        <f>SUMIFS(Commitments!$L$5:$L$504,Commitments!$E$5:$E$504,"&gt;="&amp;A11,Commitments!$E$5:$E$504,"&lt;="&amp;EOMONTH(A11,0),Commitments!$M$5:$M$504,"&lt;&gt;Paid",Commitments!$M$5:$M$504,"&lt;&gt;Cancelled",Commitments!$B$5:$B$504,"&lt;&gt;Fixed")</f>
        <v/>
      </c>
      <c r="E11" s="22">
        <f>SUMIFS('Fixed Expenses'!$E$5:$E$204,'Fixed Expenses'!$J$5:$J$204,"Yes",'Fixed Expenses'!$G$5:$G$204,"&lt;="&amp;EOMONTH(A11,0),'Fixed Expenses'!$H$5:$H$204,"&gt;="&amp;A11)+SUMIFS('Fixed Expenses'!$E$5:$E$204,'Fixed Expenses'!$J$5:$J$204,"Yes",'Fixed Expenses'!$G$5:$G$204,"&lt;="&amp;EOMONTH(A11,0),'Fixed Expenses'!$H$5:$H$204,"")</f>
        <v/>
      </c>
      <c r="F11" s="22">
        <f>D11+E11</f>
        <v/>
      </c>
      <c r="G11" s="22">
        <f>C11-F11</f>
        <v/>
      </c>
      <c r="H11" s="22">
        <f>B11+G11</f>
        <v/>
      </c>
      <c r="I11" s="24">
        <f>IF(H11&lt;0,"CASH DEFICIT",IF(H11&lt;'Setup &amp; Lists'!$M$6,"LOW LIQUIDITY","OK"))</f>
        <v/>
      </c>
      <c r="J11" s="18" t="n"/>
    </row>
    <row r="12">
      <c r="A12" s="27">
        <f>DATE(YEAR(TODAY()),MONTH(TODAY())+7,1)</f>
        <v/>
      </c>
      <c r="B12" s="22">
        <f>H11</f>
        <v/>
      </c>
      <c r="C12" s="25" t="n"/>
      <c r="D12" s="22">
        <f>SUMIFS(Commitments!$L$5:$L$504,Commitments!$E$5:$E$504,"&gt;="&amp;A12,Commitments!$E$5:$E$504,"&lt;="&amp;EOMONTH(A12,0),Commitments!$M$5:$M$504,"&lt;&gt;Paid",Commitments!$M$5:$M$504,"&lt;&gt;Cancelled",Commitments!$B$5:$B$504,"&lt;&gt;Fixed")</f>
        <v/>
      </c>
      <c r="E12" s="22">
        <f>SUMIFS('Fixed Expenses'!$E$5:$E$204,'Fixed Expenses'!$J$5:$J$204,"Yes",'Fixed Expenses'!$G$5:$G$204,"&lt;="&amp;EOMONTH(A12,0),'Fixed Expenses'!$H$5:$H$204,"&gt;="&amp;A12)+SUMIFS('Fixed Expenses'!$E$5:$E$204,'Fixed Expenses'!$J$5:$J$204,"Yes",'Fixed Expenses'!$G$5:$G$204,"&lt;="&amp;EOMONTH(A12,0),'Fixed Expenses'!$H$5:$H$204,"")</f>
        <v/>
      </c>
      <c r="F12" s="22">
        <f>D12+E12</f>
        <v/>
      </c>
      <c r="G12" s="22">
        <f>C12-F12</f>
        <v/>
      </c>
      <c r="H12" s="22">
        <f>B12+G12</f>
        <v/>
      </c>
      <c r="I12" s="24">
        <f>IF(H12&lt;0,"CASH DEFICIT",IF(H12&lt;'Setup &amp; Lists'!$M$6,"LOW LIQUIDITY","OK"))</f>
        <v/>
      </c>
      <c r="J12" s="18" t="n"/>
    </row>
    <row r="13">
      <c r="A13" s="27">
        <f>DATE(YEAR(TODAY()),MONTH(TODAY())+8,1)</f>
        <v/>
      </c>
      <c r="B13" s="22">
        <f>H12</f>
        <v/>
      </c>
      <c r="C13" s="25" t="n"/>
      <c r="D13" s="22">
        <f>SUMIFS(Commitments!$L$5:$L$504,Commitments!$E$5:$E$504,"&gt;="&amp;A13,Commitments!$E$5:$E$504,"&lt;="&amp;EOMONTH(A13,0),Commitments!$M$5:$M$504,"&lt;&gt;Paid",Commitments!$M$5:$M$504,"&lt;&gt;Cancelled",Commitments!$B$5:$B$504,"&lt;&gt;Fixed")</f>
        <v/>
      </c>
      <c r="E13" s="22">
        <f>SUMIFS('Fixed Expenses'!$E$5:$E$204,'Fixed Expenses'!$J$5:$J$204,"Yes",'Fixed Expenses'!$G$5:$G$204,"&lt;="&amp;EOMONTH(A13,0),'Fixed Expenses'!$H$5:$H$204,"&gt;="&amp;A13)+SUMIFS('Fixed Expenses'!$E$5:$E$204,'Fixed Expenses'!$J$5:$J$204,"Yes",'Fixed Expenses'!$G$5:$G$204,"&lt;="&amp;EOMONTH(A13,0),'Fixed Expenses'!$H$5:$H$204,"")</f>
        <v/>
      </c>
      <c r="F13" s="22">
        <f>D13+E13</f>
        <v/>
      </c>
      <c r="G13" s="22">
        <f>C13-F13</f>
        <v/>
      </c>
      <c r="H13" s="22">
        <f>B13+G13</f>
        <v/>
      </c>
      <c r="I13" s="24">
        <f>IF(H13&lt;0,"CASH DEFICIT",IF(H13&lt;'Setup &amp; Lists'!$M$6,"LOW LIQUIDITY","OK"))</f>
        <v/>
      </c>
      <c r="J13" s="18" t="n"/>
    </row>
    <row r="14">
      <c r="A14" s="27">
        <f>DATE(YEAR(TODAY()),MONTH(TODAY())+9,1)</f>
        <v/>
      </c>
      <c r="B14" s="22">
        <f>H13</f>
        <v/>
      </c>
      <c r="C14" s="25" t="n"/>
      <c r="D14" s="22">
        <f>SUMIFS(Commitments!$L$5:$L$504,Commitments!$E$5:$E$504,"&gt;="&amp;A14,Commitments!$E$5:$E$504,"&lt;="&amp;EOMONTH(A14,0),Commitments!$M$5:$M$504,"&lt;&gt;Paid",Commitments!$M$5:$M$504,"&lt;&gt;Cancelled",Commitments!$B$5:$B$504,"&lt;&gt;Fixed")</f>
        <v/>
      </c>
      <c r="E14" s="22">
        <f>SUMIFS('Fixed Expenses'!$E$5:$E$204,'Fixed Expenses'!$J$5:$J$204,"Yes",'Fixed Expenses'!$G$5:$G$204,"&lt;="&amp;EOMONTH(A14,0),'Fixed Expenses'!$H$5:$H$204,"&gt;="&amp;A14)+SUMIFS('Fixed Expenses'!$E$5:$E$204,'Fixed Expenses'!$J$5:$J$204,"Yes",'Fixed Expenses'!$G$5:$G$204,"&lt;="&amp;EOMONTH(A14,0),'Fixed Expenses'!$H$5:$H$204,"")</f>
        <v/>
      </c>
      <c r="F14" s="22">
        <f>D14+E14</f>
        <v/>
      </c>
      <c r="G14" s="22">
        <f>C14-F14</f>
        <v/>
      </c>
      <c r="H14" s="22">
        <f>B14+G14</f>
        <v/>
      </c>
      <c r="I14" s="24">
        <f>IF(H14&lt;0,"CASH DEFICIT",IF(H14&lt;'Setup &amp; Lists'!$M$6,"LOW LIQUIDITY","OK"))</f>
        <v/>
      </c>
      <c r="J14" s="18" t="n"/>
    </row>
    <row r="15">
      <c r="A15" s="27">
        <f>DATE(YEAR(TODAY()),MONTH(TODAY())+10,1)</f>
        <v/>
      </c>
      <c r="B15" s="22">
        <f>H14</f>
        <v/>
      </c>
      <c r="C15" s="25" t="n"/>
      <c r="D15" s="22">
        <f>SUMIFS(Commitments!$L$5:$L$504,Commitments!$E$5:$E$504,"&gt;="&amp;A15,Commitments!$E$5:$E$504,"&lt;="&amp;EOMONTH(A15,0),Commitments!$M$5:$M$504,"&lt;&gt;Paid",Commitments!$M$5:$M$504,"&lt;&gt;Cancelled",Commitments!$B$5:$B$504,"&lt;&gt;Fixed")</f>
        <v/>
      </c>
      <c r="E15" s="22">
        <f>SUMIFS('Fixed Expenses'!$E$5:$E$204,'Fixed Expenses'!$J$5:$J$204,"Yes",'Fixed Expenses'!$G$5:$G$204,"&lt;="&amp;EOMONTH(A15,0),'Fixed Expenses'!$H$5:$H$204,"&gt;="&amp;A15)+SUMIFS('Fixed Expenses'!$E$5:$E$204,'Fixed Expenses'!$J$5:$J$204,"Yes",'Fixed Expenses'!$G$5:$G$204,"&lt;="&amp;EOMONTH(A15,0),'Fixed Expenses'!$H$5:$H$204,"")</f>
        <v/>
      </c>
      <c r="F15" s="22">
        <f>D15+E15</f>
        <v/>
      </c>
      <c r="G15" s="22">
        <f>C15-F15</f>
        <v/>
      </c>
      <c r="H15" s="22">
        <f>B15+G15</f>
        <v/>
      </c>
      <c r="I15" s="24">
        <f>IF(H15&lt;0,"CASH DEFICIT",IF(H15&lt;'Setup &amp; Lists'!$M$6,"LOW LIQUIDITY","OK"))</f>
        <v/>
      </c>
      <c r="J15" s="18" t="n"/>
    </row>
    <row r="16">
      <c r="A16" s="27">
        <f>DATE(YEAR(TODAY()),MONTH(TODAY())+11,1)</f>
        <v/>
      </c>
      <c r="B16" s="22">
        <f>H15</f>
        <v/>
      </c>
      <c r="C16" s="25" t="n"/>
      <c r="D16" s="22">
        <f>SUMIFS(Commitments!$L$5:$L$504,Commitments!$E$5:$E$504,"&gt;="&amp;A16,Commitments!$E$5:$E$504,"&lt;="&amp;EOMONTH(A16,0),Commitments!$M$5:$M$504,"&lt;&gt;Paid",Commitments!$M$5:$M$504,"&lt;&gt;Cancelled",Commitments!$B$5:$B$504,"&lt;&gt;Fixed")</f>
        <v/>
      </c>
      <c r="E16" s="22">
        <f>SUMIFS('Fixed Expenses'!$E$5:$E$204,'Fixed Expenses'!$J$5:$J$204,"Yes",'Fixed Expenses'!$G$5:$G$204,"&lt;="&amp;EOMONTH(A16,0),'Fixed Expenses'!$H$5:$H$204,"&gt;="&amp;A16)+SUMIFS('Fixed Expenses'!$E$5:$E$204,'Fixed Expenses'!$J$5:$J$204,"Yes",'Fixed Expenses'!$G$5:$G$204,"&lt;="&amp;EOMONTH(A16,0),'Fixed Expenses'!$H$5:$H$204,"")</f>
        <v/>
      </c>
      <c r="F16" s="22">
        <f>D16+E16</f>
        <v/>
      </c>
      <c r="G16" s="22">
        <f>C16-F16</f>
        <v/>
      </c>
      <c r="H16" s="22">
        <f>B16+G16</f>
        <v/>
      </c>
      <c r="I16" s="24">
        <f>IF(H16&lt;0,"CASH DEFICIT",IF(H16&lt;'Setup &amp; Lists'!$M$6,"LOW LIQUIDITY","OK"))</f>
        <v/>
      </c>
      <c r="J16" s="18" t="n"/>
    </row>
  </sheetData>
  <mergeCells count="2">
    <mergeCell ref="A1:J1"/>
    <mergeCell ref="A2:J2"/>
  </mergeCells>
  <conditionalFormatting sqref="H5:H16">
    <cfRule type="cellIs" priority="1" operator="lessThan" dxfId="1">
      <formula>0</formula>
    </cfRule>
  </conditionalFormatting>
  <conditionalFormatting sqref="I5:I16">
    <cfRule type="expression" priority="2" dxfId="0">
      <formula>$I5="CASH DEFICIT"</formula>
    </cfRule>
    <cfRule type="expression" priority="3" dxfId="4">
      <formula>$I5="LOW LIQUIDITY"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28" customWidth="1" min="3" max="3"/>
    <col width="16" customWidth="1" min="4" max="4"/>
    <col width="13" customWidth="1" min="5" max="5"/>
    <col width="20" customWidth="1" min="6" max="6"/>
    <col width="20" customWidth="1" min="7" max="7"/>
    <col width="22" customWidth="1" min="8" max="8"/>
    <col width="22" customWidth="1" min="9" max="9"/>
    <col width="18" customWidth="1" min="10" max="10"/>
    <col width="18" customWidth="1" min="11" max="11"/>
    <col width="28" customWidth="1" min="12" max="12"/>
  </cols>
  <sheetData>
    <row r="1" ht="30" customHeight="1">
      <c r="A1" s="1" t="inlineStr">
        <is>
          <t>Bank &amp; Cash Balances</t>
        </is>
      </c>
    </row>
    <row r="2" ht="24" customHeight="1">
      <c r="A2" s="2" t="inlineStr">
        <is>
          <t>افصل الرصيد الدفتري عن الرصيد المتاح بعد الشيكات والحد الأدنى المحمي</t>
        </is>
      </c>
    </row>
    <row r="4" ht="32" customHeight="1">
      <c r="A4" s="17" t="inlineStr">
        <is>
          <t>Account ID</t>
        </is>
      </c>
      <c r="B4" s="17" t="inlineStr">
        <is>
          <t>Branch</t>
        </is>
      </c>
      <c r="C4" s="17" t="inlineStr">
        <is>
          <t>Account Name</t>
        </is>
      </c>
      <c r="D4" s="17" t="inlineStr">
        <is>
          <t>Account Type</t>
        </is>
      </c>
      <c r="E4" s="17" t="inlineStr">
        <is>
          <t>As of Date</t>
        </is>
      </c>
      <c r="F4" s="17" t="inlineStr">
        <is>
          <t>Book Balance (AED)</t>
        </is>
      </c>
      <c r="G4" s="17" t="inlineStr">
        <is>
          <t>Pending Cheques (AED)</t>
        </is>
      </c>
      <c r="H4" s="17" t="inlineStr">
        <is>
          <t>Protected Minimum (AED)</t>
        </is>
      </c>
      <c r="I4" s="17" t="inlineStr">
        <is>
          <t>Available Balance (AED)</t>
        </is>
      </c>
      <c r="J4" s="17" t="inlineStr">
        <is>
          <t>Source</t>
        </is>
      </c>
      <c r="K4" s="17" t="inlineStr">
        <is>
          <t>Last Synced At</t>
        </is>
      </c>
      <c r="L4" s="17" t="inlineStr">
        <is>
          <t>Notes</t>
        </is>
      </c>
    </row>
    <row r="5">
      <c r="A5" s="19" t="inlineStr">
        <is>
          <t>MBZ-BANK</t>
        </is>
      </c>
      <c r="B5" s="19" t="inlineStr">
        <is>
          <t>MBZ</t>
        </is>
      </c>
      <c r="C5" s="19" t="inlineStr">
        <is>
          <t>Main Bank — MBZ</t>
        </is>
      </c>
      <c r="D5" s="19" t="inlineStr">
        <is>
          <t>Bank</t>
        </is>
      </c>
      <c r="E5" s="20" t="n">
        <v>46193</v>
      </c>
      <c r="F5" s="21" t="n">
        <v>0</v>
      </c>
      <c r="G5" s="22">
        <f>IFERROR(IF(C5="","",SUMIFS('Cheque Register'!$H$5:$H$304,'Cheque Register'!$D$5:$D$304,C5,'Cheque Register'!$I$5:$I$304,"Pending")),0)</f>
        <v/>
      </c>
      <c r="H5" s="25">
        <f>'Setup &amp; Lists'!$M$6</f>
        <v/>
      </c>
      <c r="I5" s="22">
        <f>IFERROR(IF(F5="","",F5-G5-H5),0)</f>
        <v/>
      </c>
      <c r="J5" s="19" t="inlineStr">
        <is>
          <t>Manual / POS</t>
        </is>
      </c>
      <c r="K5" s="20" t="n"/>
      <c r="L5" s="18" t="n"/>
    </row>
    <row r="6">
      <c r="A6" s="19" t="inlineStr">
        <is>
          <t>MBZ-CASH</t>
        </is>
      </c>
      <c r="B6" s="19" t="inlineStr">
        <is>
          <t>MBZ</t>
        </is>
      </c>
      <c r="C6" s="19" t="inlineStr">
        <is>
          <t>Cash Box — MBZ</t>
        </is>
      </c>
      <c r="D6" s="19" t="inlineStr">
        <is>
          <t>Cash</t>
        </is>
      </c>
      <c r="E6" s="20" t="n">
        <v>46193</v>
      </c>
      <c r="F6" s="21" t="n">
        <v>0</v>
      </c>
      <c r="G6" s="22">
        <f>IFERROR(IF(C6="","",SUMIFS('Cheque Register'!$H$5:$H$304,'Cheque Register'!$D$5:$D$304,C6,'Cheque Register'!$I$5:$I$304,"Pending")),0)</f>
        <v/>
      </c>
      <c r="H6" s="25">
        <f>'Setup &amp; Lists'!$M$6</f>
        <v/>
      </c>
      <c r="I6" s="22">
        <f>IFERROR(IF(F6="","",F6-G6-H6),0)</f>
        <v/>
      </c>
      <c r="J6" s="19" t="inlineStr">
        <is>
          <t>Manual / POS</t>
        </is>
      </c>
      <c r="K6" s="20" t="n"/>
      <c r="L6" s="18" t="n"/>
    </row>
    <row r="7">
      <c r="A7" s="19" t="inlineStr">
        <is>
          <t>MUS-BANK</t>
        </is>
      </c>
      <c r="B7" s="19" t="inlineStr">
        <is>
          <t>Mussafah</t>
        </is>
      </c>
      <c r="C7" s="19" t="inlineStr">
        <is>
          <t>Main Bank — Mussafah</t>
        </is>
      </c>
      <c r="D7" s="19" t="inlineStr">
        <is>
          <t>Bank</t>
        </is>
      </c>
      <c r="E7" s="20" t="n">
        <v>46193</v>
      </c>
      <c r="F7" s="21" t="n">
        <v>0</v>
      </c>
      <c r="G7" s="22">
        <f>IFERROR(IF(C7="","",SUMIFS('Cheque Register'!$H$5:$H$304,'Cheque Register'!$D$5:$D$304,C7,'Cheque Register'!$I$5:$I$304,"Pending")),0)</f>
        <v/>
      </c>
      <c r="H7" s="25">
        <f>'Setup &amp; Lists'!$M$6</f>
        <v/>
      </c>
      <c r="I7" s="22">
        <f>IFERROR(IF(F7="","",F7-G7-H7),0)</f>
        <v/>
      </c>
      <c r="J7" s="19" t="inlineStr">
        <is>
          <t>Manual / POS</t>
        </is>
      </c>
      <c r="K7" s="20" t="n"/>
      <c r="L7" s="18" t="n"/>
    </row>
    <row r="8">
      <c r="A8" s="19" t="inlineStr">
        <is>
          <t>MUS-CASH</t>
        </is>
      </c>
      <c r="B8" s="19" t="inlineStr">
        <is>
          <t>Mussafah</t>
        </is>
      </c>
      <c r="C8" s="19" t="inlineStr">
        <is>
          <t>Cash Box — Mussafah</t>
        </is>
      </c>
      <c r="D8" s="19" t="inlineStr">
        <is>
          <t>Cash</t>
        </is>
      </c>
      <c r="E8" s="20" t="n">
        <v>46193</v>
      </c>
      <c r="F8" s="21" t="n">
        <v>0</v>
      </c>
      <c r="G8" s="22">
        <f>IFERROR(IF(C8="","",SUMIFS('Cheque Register'!$H$5:$H$304,'Cheque Register'!$D$5:$D$304,C8,'Cheque Register'!$I$5:$I$304,"Pending")),0)</f>
        <v/>
      </c>
      <c r="H8" s="25">
        <f>'Setup &amp; Lists'!$M$6</f>
        <v/>
      </c>
      <c r="I8" s="22">
        <f>IFERROR(IF(F8="","",F8-G8-H8),0)</f>
        <v/>
      </c>
      <c r="J8" s="19" t="inlineStr">
        <is>
          <t>Manual / POS</t>
        </is>
      </c>
      <c r="K8" s="20" t="n"/>
      <c r="L8" s="18" t="n"/>
    </row>
    <row r="9">
      <c r="A9" s="19" t="inlineStr">
        <is>
          <t>AF-BANK</t>
        </is>
      </c>
      <c r="B9" s="19" t="inlineStr">
        <is>
          <t>Al Falah</t>
        </is>
      </c>
      <c r="C9" s="19" t="inlineStr">
        <is>
          <t>ADIB BANK — Al Falah</t>
        </is>
      </c>
      <c r="D9" s="19" t="inlineStr">
        <is>
          <t>Bank</t>
        </is>
      </c>
      <c r="E9" s="20" t="n">
        <v>46193</v>
      </c>
      <c r="F9" s="21" t="n">
        <v>0</v>
      </c>
      <c r="G9" s="22">
        <f>IFERROR(IF(C9="","",SUMIFS('Cheque Register'!$H$5:$H$304,'Cheque Register'!$D$5:$D$304,C9,'Cheque Register'!$I$5:$I$304,"Pending")),0)</f>
        <v/>
      </c>
      <c r="H9" s="25">
        <f>'Setup &amp; Lists'!$M$6</f>
        <v/>
      </c>
      <c r="I9" s="22">
        <f>IFERROR(IF(F9="","",F9-G9-H9),0)</f>
        <v/>
      </c>
      <c r="J9" s="19" t="inlineStr">
        <is>
          <t>Manual / POS</t>
        </is>
      </c>
      <c r="K9" s="20" t="n"/>
      <c r="L9" s="18" t="n"/>
    </row>
    <row r="10">
      <c r="A10" s="19" t="inlineStr">
        <is>
          <t>AF-CASH</t>
        </is>
      </c>
      <c r="B10" s="19" t="inlineStr">
        <is>
          <t>Al Falah</t>
        </is>
      </c>
      <c r="C10" s="19" t="inlineStr">
        <is>
          <t>Cash Account — Al Falah</t>
        </is>
      </c>
      <c r="D10" s="19" t="inlineStr">
        <is>
          <t>Cash</t>
        </is>
      </c>
      <c r="E10" s="20" t="n">
        <v>46193</v>
      </c>
      <c r="F10" s="21" t="n">
        <v>0</v>
      </c>
      <c r="G10" s="22">
        <f>IFERROR(IF(C10="","",SUMIFS('Cheque Register'!$H$5:$H$304,'Cheque Register'!$D$5:$D$304,C10,'Cheque Register'!$I$5:$I$304,"Pending")),0)</f>
        <v/>
      </c>
      <c r="H10" s="25">
        <f>'Setup &amp; Lists'!$M$6</f>
        <v/>
      </c>
      <c r="I10" s="22">
        <f>IFERROR(IF(F10="","",F10-G10-H10),0)</f>
        <v/>
      </c>
      <c r="J10" s="19" t="inlineStr">
        <is>
          <t>Manual / POS</t>
        </is>
      </c>
      <c r="K10" s="20" t="n"/>
      <c r="L10" s="18" t="n"/>
    </row>
    <row r="11">
      <c r="A11" s="19" t="n"/>
      <c r="B11" s="19" t="n"/>
      <c r="C11" s="19" t="n"/>
      <c r="D11" s="19" t="n"/>
      <c r="E11" s="20" t="n"/>
      <c r="F11" s="21" t="n"/>
      <c r="G11" s="22">
        <f>IFERROR(IF(C11="","",SUMIFS('Cheque Register'!$H$5:$H$304,'Cheque Register'!$D$5:$D$304,C11,'Cheque Register'!$I$5:$I$304,"Pending")),0)</f>
        <v/>
      </c>
      <c r="H11" s="25" t="n"/>
      <c r="I11" s="22">
        <f>IFERROR(IF(F11="","",F11-G11-H11),0)</f>
        <v/>
      </c>
      <c r="J11" s="19" t="n"/>
      <c r="K11" s="20" t="n"/>
      <c r="L11" s="18" t="n"/>
    </row>
    <row r="12">
      <c r="A12" s="19" t="n"/>
      <c r="B12" s="19" t="n"/>
      <c r="C12" s="19" t="n"/>
      <c r="D12" s="19" t="n"/>
      <c r="E12" s="20" t="n"/>
      <c r="F12" s="21" t="n"/>
      <c r="G12" s="22">
        <f>IFERROR(IF(C12="","",SUMIFS('Cheque Register'!$H$5:$H$304,'Cheque Register'!$D$5:$D$304,C12,'Cheque Register'!$I$5:$I$304,"Pending")),0)</f>
        <v/>
      </c>
      <c r="H12" s="25" t="n"/>
      <c r="I12" s="22">
        <f>IFERROR(IF(F12="","",F12-G12-H12),0)</f>
        <v/>
      </c>
      <c r="J12" s="19" t="n"/>
      <c r="K12" s="20" t="n"/>
      <c r="L12" s="18" t="n"/>
    </row>
    <row r="13">
      <c r="A13" s="19" t="n"/>
      <c r="B13" s="19" t="n"/>
      <c r="C13" s="19" t="n"/>
      <c r="D13" s="19" t="n"/>
      <c r="E13" s="20" t="n"/>
      <c r="F13" s="21" t="n"/>
      <c r="G13" s="22">
        <f>IFERROR(IF(C13="","",SUMIFS('Cheque Register'!$H$5:$H$304,'Cheque Register'!$D$5:$D$304,C13,'Cheque Register'!$I$5:$I$304,"Pending")),0)</f>
        <v/>
      </c>
      <c r="H13" s="25" t="n"/>
      <c r="I13" s="22">
        <f>IFERROR(IF(F13="","",F13-G13-H13),0)</f>
        <v/>
      </c>
      <c r="J13" s="19" t="n"/>
      <c r="K13" s="20" t="n"/>
      <c r="L13" s="18" t="n"/>
    </row>
    <row r="14">
      <c r="A14" s="19" t="n"/>
      <c r="B14" s="19" t="n"/>
      <c r="C14" s="19" t="n"/>
      <c r="D14" s="19" t="n"/>
      <c r="E14" s="20" t="n"/>
      <c r="F14" s="21" t="n"/>
      <c r="G14" s="22">
        <f>IFERROR(IF(C14="","",SUMIFS('Cheque Register'!$H$5:$H$304,'Cheque Register'!$D$5:$D$304,C14,'Cheque Register'!$I$5:$I$304,"Pending")),0)</f>
        <v/>
      </c>
      <c r="H14" s="25" t="n"/>
      <c r="I14" s="22">
        <f>IFERROR(IF(F14="","",F14-G14-H14),0)</f>
        <v/>
      </c>
      <c r="J14" s="19" t="n"/>
      <c r="K14" s="20" t="n"/>
      <c r="L14" s="18" t="n"/>
    </row>
    <row r="15">
      <c r="A15" s="19" t="n"/>
      <c r="B15" s="19" t="n"/>
      <c r="C15" s="19" t="n"/>
      <c r="D15" s="19" t="n"/>
      <c r="E15" s="20" t="n"/>
      <c r="F15" s="21" t="n"/>
      <c r="G15" s="22">
        <f>IFERROR(IF(C15="","",SUMIFS('Cheque Register'!$H$5:$H$304,'Cheque Register'!$D$5:$D$304,C15,'Cheque Register'!$I$5:$I$304,"Pending")),0)</f>
        <v/>
      </c>
      <c r="H15" s="25" t="n"/>
      <c r="I15" s="22">
        <f>IFERROR(IF(F15="","",F15-G15-H15),0)</f>
        <v/>
      </c>
      <c r="J15" s="19" t="n"/>
      <c r="K15" s="20" t="n"/>
      <c r="L15" s="18" t="n"/>
    </row>
    <row r="16">
      <c r="A16" s="19" t="n"/>
      <c r="B16" s="19" t="n"/>
      <c r="C16" s="19" t="n"/>
      <c r="D16" s="19" t="n"/>
      <c r="E16" s="20" t="n"/>
      <c r="F16" s="21" t="n"/>
      <c r="G16" s="22">
        <f>IFERROR(IF(C16="","",SUMIFS('Cheque Register'!$H$5:$H$304,'Cheque Register'!$D$5:$D$304,C16,'Cheque Register'!$I$5:$I$304,"Pending")),0)</f>
        <v/>
      </c>
      <c r="H16" s="25" t="n"/>
      <c r="I16" s="22">
        <f>IFERROR(IF(F16="","",F16-G16-H16),0)</f>
        <v/>
      </c>
      <c r="J16" s="19" t="n"/>
      <c r="K16" s="20" t="n"/>
      <c r="L16" s="18" t="n"/>
    </row>
    <row r="17">
      <c r="A17" s="19" t="n"/>
      <c r="B17" s="19" t="n"/>
      <c r="C17" s="19" t="n"/>
      <c r="D17" s="19" t="n"/>
      <c r="E17" s="20" t="n"/>
      <c r="F17" s="21" t="n"/>
      <c r="G17" s="22">
        <f>IFERROR(IF(C17="","",SUMIFS('Cheque Register'!$H$5:$H$304,'Cheque Register'!$D$5:$D$304,C17,'Cheque Register'!$I$5:$I$304,"Pending")),0)</f>
        <v/>
      </c>
      <c r="H17" s="25" t="n"/>
      <c r="I17" s="22">
        <f>IFERROR(IF(F17="","",F17-G17-H17),0)</f>
        <v/>
      </c>
      <c r="J17" s="19" t="n"/>
      <c r="K17" s="20" t="n"/>
      <c r="L17" s="18" t="n"/>
    </row>
    <row r="18">
      <c r="A18" s="19" t="n"/>
      <c r="B18" s="19" t="n"/>
      <c r="C18" s="19" t="n"/>
      <c r="D18" s="19" t="n"/>
      <c r="E18" s="20" t="n"/>
      <c r="F18" s="21" t="n"/>
      <c r="G18" s="22">
        <f>IFERROR(IF(C18="","",SUMIFS('Cheque Register'!$H$5:$H$304,'Cheque Register'!$D$5:$D$304,C18,'Cheque Register'!$I$5:$I$304,"Pending")),0)</f>
        <v/>
      </c>
      <c r="H18" s="25" t="n"/>
      <c r="I18" s="22">
        <f>IFERROR(IF(F18="","",F18-G18-H18),0)</f>
        <v/>
      </c>
      <c r="J18" s="19" t="n"/>
      <c r="K18" s="20" t="n"/>
      <c r="L18" s="18" t="n"/>
    </row>
    <row r="19">
      <c r="A19" s="19" t="n"/>
      <c r="B19" s="19" t="n"/>
      <c r="C19" s="19" t="n"/>
      <c r="D19" s="19" t="n"/>
      <c r="E19" s="20" t="n"/>
      <c r="F19" s="21" t="n"/>
      <c r="G19" s="22">
        <f>IFERROR(IF(C19="","",SUMIFS('Cheque Register'!$H$5:$H$304,'Cheque Register'!$D$5:$D$304,C19,'Cheque Register'!$I$5:$I$304,"Pending")),0)</f>
        <v/>
      </c>
      <c r="H19" s="25" t="n"/>
      <c r="I19" s="22">
        <f>IFERROR(IF(F19="","",F19-G19-H19),0)</f>
        <v/>
      </c>
      <c r="J19" s="19" t="n"/>
      <c r="K19" s="20" t="n"/>
      <c r="L19" s="18" t="n"/>
    </row>
    <row r="20">
      <c r="A20" s="19" t="n"/>
      <c r="B20" s="19" t="n"/>
      <c r="C20" s="19" t="n"/>
      <c r="D20" s="19" t="n"/>
      <c r="E20" s="20" t="n"/>
      <c r="F20" s="21" t="n"/>
      <c r="G20" s="22">
        <f>IFERROR(IF(C20="","",SUMIFS('Cheque Register'!$H$5:$H$304,'Cheque Register'!$D$5:$D$304,C20,'Cheque Register'!$I$5:$I$304,"Pending")),0)</f>
        <v/>
      </c>
      <c r="H20" s="25" t="n"/>
      <c r="I20" s="22">
        <f>IFERROR(IF(F20="","",F20-G20-H20),0)</f>
        <v/>
      </c>
      <c r="J20" s="19" t="n"/>
      <c r="K20" s="20" t="n"/>
      <c r="L20" s="18" t="n"/>
    </row>
    <row r="21">
      <c r="A21" s="19" t="n"/>
      <c r="B21" s="19" t="n"/>
      <c r="C21" s="19" t="n"/>
      <c r="D21" s="19" t="n"/>
      <c r="E21" s="20" t="n"/>
      <c r="F21" s="21" t="n"/>
      <c r="G21" s="22">
        <f>IFERROR(IF(C21="","",SUMIFS('Cheque Register'!$H$5:$H$304,'Cheque Register'!$D$5:$D$304,C21,'Cheque Register'!$I$5:$I$304,"Pending")),0)</f>
        <v/>
      </c>
      <c r="H21" s="25" t="n"/>
      <c r="I21" s="22">
        <f>IFERROR(IF(F21="","",F21-G21-H21),0)</f>
        <v/>
      </c>
      <c r="J21" s="19" t="n"/>
      <c r="K21" s="20" t="n"/>
      <c r="L21" s="18" t="n"/>
    </row>
    <row r="22">
      <c r="A22" s="19" t="n"/>
      <c r="B22" s="19" t="n"/>
      <c r="C22" s="19" t="n"/>
      <c r="D22" s="19" t="n"/>
      <c r="E22" s="20" t="n"/>
      <c r="F22" s="21" t="n"/>
      <c r="G22" s="22">
        <f>IFERROR(IF(C22="","",SUMIFS('Cheque Register'!$H$5:$H$304,'Cheque Register'!$D$5:$D$304,C22,'Cheque Register'!$I$5:$I$304,"Pending")),0)</f>
        <v/>
      </c>
      <c r="H22" s="25" t="n"/>
      <c r="I22" s="22">
        <f>IFERROR(IF(F22="","",F22-G22-H22),0)</f>
        <v/>
      </c>
      <c r="J22" s="19" t="n"/>
      <c r="K22" s="20" t="n"/>
      <c r="L22" s="18" t="n"/>
    </row>
    <row r="23">
      <c r="A23" s="19" t="n"/>
      <c r="B23" s="19" t="n"/>
      <c r="C23" s="19" t="n"/>
      <c r="D23" s="19" t="n"/>
      <c r="E23" s="20" t="n"/>
      <c r="F23" s="21" t="n"/>
      <c r="G23" s="22">
        <f>IFERROR(IF(C23="","",SUMIFS('Cheque Register'!$H$5:$H$304,'Cheque Register'!$D$5:$D$304,C23,'Cheque Register'!$I$5:$I$304,"Pending")),0)</f>
        <v/>
      </c>
      <c r="H23" s="25" t="n"/>
      <c r="I23" s="22">
        <f>IFERROR(IF(F23="","",F23-G23-H23),0)</f>
        <v/>
      </c>
      <c r="J23" s="19" t="n"/>
      <c r="K23" s="20" t="n"/>
      <c r="L23" s="18" t="n"/>
    </row>
    <row r="24">
      <c r="A24" s="19" t="n"/>
      <c r="B24" s="19" t="n"/>
      <c r="C24" s="19" t="n"/>
      <c r="D24" s="19" t="n"/>
      <c r="E24" s="20" t="n"/>
      <c r="F24" s="21" t="n"/>
      <c r="G24" s="22">
        <f>IFERROR(IF(C24="","",SUMIFS('Cheque Register'!$H$5:$H$304,'Cheque Register'!$D$5:$D$304,C24,'Cheque Register'!$I$5:$I$304,"Pending")),0)</f>
        <v/>
      </c>
      <c r="H24" s="25" t="n"/>
      <c r="I24" s="22">
        <f>IFERROR(IF(F24="","",F24-G24-H24),0)</f>
        <v/>
      </c>
      <c r="J24" s="19" t="n"/>
      <c r="K24" s="20" t="n"/>
      <c r="L24" s="18" t="n"/>
    </row>
    <row r="25">
      <c r="A25" s="19" t="n"/>
      <c r="B25" s="19" t="n"/>
      <c r="C25" s="19" t="n"/>
      <c r="D25" s="19" t="n"/>
      <c r="E25" s="20" t="n"/>
      <c r="F25" s="21" t="n"/>
      <c r="G25" s="22">
        <f>IFERROR(IF(C25="","",SUMIFS('Cheque Register'!$H$5:$H$304,'Cheque Register'!$D$5:$D$304,C25,'Cheque Register'!$I$5:$I$304,"Pending")),0)</f>
        <v/>
      </c>
      <c r="H25" s="25" t="n"/>
      <c r="I25" s="22">
        <f>IFERROR(IF(F25="","",F25-G25-H25),0)</f>
        <v/>
      </c>
      <c r="J25" s="19" t="n"/>
      <c r="K25" s="20" t="n"/>
      <c r="L25" s="18" t="n"/>
    </row>
    <row r="26">
      <c r="A26" s="19" t="n"/>
      <c r="B26" s="19" t="n"/>
      <c r="C26" s="19" t="n"/>
      <c r="D26" s="19" t="n"/>
      <c r="E26" s="20" t="n"/>
      <c r="F26" s="21" t="n"/>
      <c r="G26" s="22">
        <f>IFERROR(IF(C26="","",SUMIFS('Cheque Register'!$H$5:$H$304,'Cheque Register'!$D$5:$D$304,C26,'Cheque Register'!$I$5:$I$304,"Pending")),0)</f>
        <v/>
      </c>
      <c r="H26" s="25" t="n"/>
      <c r="I26" s="22">
        <f>IFERROR(IF(F26="","",F26-G26-H26),0)</f>
        <v/>
      </c>
      <c r="J26" s="19" t="n"/>
      <c r="K26" s="20" t="n"/>
      <c r="L26" s="18" t="n"/>
    </row>
    <row r="27">
      <c r="A27" s="19" t="n"/>
      <c r="B27" s="19" t="n"/>
      <c r="C27" s="19" t="n"/>
      <c r="D27" s="19" t="n"/>
      <c r="E27" s="20" t="n"/>
      <c r="F27" s="21" t="n"/>
      <c r="G27" s="22">
        <f>IFERROR(IF(C27="","",SUMIFS('Cheque Register'!$H$5:$H$304,'Cheque Register'!$D$5:$D$304,C27,'Cheque Register'!$I$5:$I$304,"Pending")),0)</f>
        <v/>
      </c>
      <c r="H27" s="25" t="n"/>
      <c r="I27" s="22">
        <f>IFERROR(IF(F27="","",F27-G27-H27),0)</f>
        <v/>
      </c>
      <c r="J27" s="19" t="n"/>
      <c r="K27" s="20" t="n"/>
      <c r="L27" s="18" t="n"/>
    </row>
    <row r="28">
      <c r="A28" s="19" t="n"/>
      <c r="B28" s="19" t="n"/>
      <c r="C28" s="19" t="n"/>
      <c r="D28" s="19" t="n"/>
      <c r="E28" s="20" t="n"/>
      <c r="F28" s="21" t="n"/>
      <c r="G28" s="22">
        <f>IFERROR(IF(C28="","",SUMIFS('Cheque Register'!$H$5:$H$304,'Cheque Register'!$D$5:$D$304,C28,'Cheque Register'!$I$5:$I$304,"Pending")),0)</f>
        <v/>
      </c>
      <c r="H28" s="25" t="n"/>
      <c r="I28" s="22">
        <f>IFERROR(IF(F28="","",F28-G28-H28),0)</f>
        <v/>
      </c>
      <c r="J28" s="19" t="n"/>
      <c r="K28" s="20" t="n"/>
      <c r="L28" s="18" t="n"/>
    </row>
    <row r="29">
      <c r="A29" s="19" t="n"/>
      <c r="B29" s="19" t="n"/>
      <c r="C29" s="19" t="n"/>
      <c r="D29" s="19" t="n"/>
      <c r="E29" s="20" t="n"/>
      <c r="F29" s="21" t="n"/>
      <c r="G29" s="22">
        <f>IFERROR(IF(C29="","",SUMIFS('Cheque Register'!$H$5:$H$304,'Cheque Register'!$D$5:$D$304,C29,'Cheque Register'!$I$5:$I$304,"Pending")),0)</f>
        <v/>
      </c>
      <c r="H29" s="25" t="n"/>
      <c r="I29" s="22">
        <f>IFERROR(IF(F29="","",F29-G29-H29),0)</f>
        <v/>
      </c>
      <c r="J29" s="19" t="n"/>
      <c r="K29" s="20" t="n"/>
      <c r="L29" s="18" t="n"/>
    </row>
    <row r="30">
      <c r="A30" s="19" t="n"/>
      <c r="B30" s="19" t="n"/>
      <c r="C30" s="19" t="n"/>
      <c r="D30" s="19" t="n"/>
      <c r="E30" s="20" t="n"/>
      <c r="F30" s="21" t="n"/>
      <c r="G30" s="22">
        <f>IFERROR(IF(C30="","",SUMIFS('Cheque Register'!$H$5:$H$304,'Cheque Register'!$D$5:$D$304,C30,'Cheque Register'!$I$5:$I$304,"Pending")),0)</f>
        <v/>
      </c>
      <c r="H30" s="25" t="n"/>
      <c r="I30" s="22">
        <f>IFERROR(IF(F30="","",F30-G30-H30),0)</f>
        <v/>
      </c>
      <c r="J30" s="19" t="n"/>
      <c r="K30" s="20" t="n"/>
      <c r="L30" s="18" t="n"/>
    </row>
    <row r="31">
      <c r="A31" s="19" t="n"/>
      <c r="B31" s="19" t="n"/>
      <c r="C31" s="19" t="n"/>
      <c r="D31" s="19" t="n"/>
      <c r="E31" s="20" t="n"/>
      <c r="F31" s="21" t="n"/>
      <c r="G31" s="22">
        <f>IFERROR(IF(C31="","",SUMIFS('Cheque Register'!$H$5:$H$304,'Cheque Register'!$D$5:$D$304,C31,'Cheque Register'!$I$5:$I$304,"Pending")),0)</f>
        <v/>
      </c>
      <c r="H31" s="25" t="n"/>
      <c r="I31" s="22">
        <f>IFERROR(IF(F31="","",F31-G31-H31),0)</f>
        <v/>
      </c>
      <c r="J31" s="19" t="n"/>
      <c r="K31" s="20" t="n"/>
      <c r="L31" s="18" t="n"/>
    </row>
    <row r="32">
      <c r="A32" s="19" t="n"/>
      <c r="B32" s="19" t="n"/>
      <c r="C32" s="19" t="n"/>
      <c r="D32" s="19" t="n"/>
      <c r="E32" s="20" t="n"/>
      <c r="F32" s="21" t="n"/>
      <c r="G32" s="22">
        <f>IFERROR(IF(C32="","",SUMIFS('Cheque Register'!$H$5:$H$304,'Cheque Register'!$D$5:$D$304,C32,'Cheque Register'!$I$5:$I$304,"Pending")),0)</f>
        <v/>
      </c>
      <c r="H32" s="25" t="n"/>
      <c r="I32" s="22">
        <f>IFERROR(IF(F32="","",F32-G32-H32),0)</f>
        <v/>
      </c>
      <c r="J32" s="19" t="n"/>
      <c r="K32" s="20" t="n"/>
      <c r="L32" s="18" t="n"/>
    </row>
    <row r="33">
      <c r="A33" s="19" t="n"/>
      <c r="B33" s="19" t="n"/>
      <c r="C33" s="19" t="n"/>
      <c r="D33" s="19" t="n"/>
      <c r="E33" s="20" t="n"/>
      <c r="F33" s="21" t="n"/>
      <c r="G33" s="22">
        <f>IFERROR(IF(C33="","",SUMIFS('Cheque Register'!$H$5:$H$304,'Cheque Register'!$D$5:$D$304,C33,'Cheque Register'!$I$5:$I$304,"Pending")),0)</f>
        <v/>
      </c>
      <c r="H33" s="25" t="n"/>
      <c r="I33" s="22">
        <f>IFERROR(IF(F33="","",F33-G33-H33),0)</f>
        <v/>
      </c>
      <c r="J33" s="19" t="n"/>
      <c r="K33" s="20" t="n"/>
      <c r="L33" s="18" t="n"/>
    </row>
    <row r="34">
      <c r="A34" s="19" t="n"/>
      <c r="B34" s="19" t="n"/>
      <c r="C34" s="19" t="n"/>
      <c r="D34" s="19" t="n"/>
      <c r="E34" s="20" t="n"/>
      <c r="F34" s="21" t="n"/>
      <c r="G34" s="22">
        <f>IFERROR(IF(C34="","",SUMIFS('Cheque Register'!$H$5:$H$304,'Cheque Register'!$D$5:$D$304,C34,'Cheque Register'!$I$5:$I$304,"Pending")),0)</f>
        <v/>
      </c>
      <c r="H34" s="25" t="n"/>
      <c r="I34" s="22">
        <f>IFERROR(IF(F34="","",F34-G34-H34),0)</f>
        <v/>
      </c>
      <c r="J34" s="19" t="n"/>
      <c r="K34" s="20" t="n"/>
      <c r="L34" s="18" t="n"/>
    </row>
    <row r="35">
      <c r="A35" s="19" t="n"/>
      <c r="B35" s="19" t="n"/>
      <c r="C35" s="19" t="n"/>
      <c r="D35" s="19" t="n"/>
      <c r="E35" s="20" t="n"/>
      <c r="F35" s="21" t="n"/>
      <c r="G35" s="22">
        <f>IFERROR(IF(C35="","",SUMIFS('Cheque Register'!$H$5:$H$304,'Cheque Register'!$D$5:$D$304,C35,'Cheque Register'!$I$5:$I$304,"Pending")),0)</f>
        <v/>
      </c>
      <c r="H35" s="25" t="n"/>
      <c r="I35" s="22">
        <f>IFERROR(IF(F35="","",F35-G35-H35),0)</f>
        <v/>
      </c>
      <c r="J35" s="19" t="n"/>
      <c r="K35" s="20" t="n"/>
      <c r="L35" s="18" t="n"/>
    </row>
    <row r="36">
      <c r="A36" s="19" t="n"/>
      <c r="B36" s="19" t="n"/>
      <c r="C36" s="19" t="n"/>
      <c r="D36" s="19" t="n"/>
      <c r="E36" s="20" t="n"/>
      <c r="F36" s="21" t="n"/>
      <c r="G36" s="22">
        <f>IFERROR(IF(C36="","",SUMIFS('Cheque Register'!$H$5:$H$304,'Cheque Register'!$D$5:$D$304,C36,'Cheque Register'!$I$5:$I$304,"Pending")),0)</f>
        <v/>
      </c>
      <c r="H36" s="25" t="n"/>
      <c r="I36" s="22">
        <f>IFERROR(IF(F36="","",F36-G36-H36),0)</f>
        <v/>
      </c>
      <c r="J36" s="19" t="n"/>
      <c r="K36" s="20" t="n"/>
      <c r="L36" s="18" t="n"/>
    </row>
    <row r="37">
      <c r="A37" s="19" t="n"/>
      <c r="B37" s="19" t="n"/>
      <c r="C37" s="19" t="n"/>
      <c r="D37" s="19" t="n"/>
      <c r="E37" s="20" t="n"/>
      <c r="F37" s="21" t="n"/>
      <c r="G37" s="22">
        <f>IFERROR(IF(C37="","",SUMIFS('Cheque Register'!$H$5:$H$304,'Cheque Register'!$D$5:$D$304,C37,'Cheque Register'!$I$5:$I$304,"Pending")),0)</f>
        <v/>
      </c>
      <c r="H37" s="25" t="n"/>
      <c r="I37" s="22">
        <f>IFERROR(IF(F37="","",F37-G37-H37),0)</f>
        <v/>
      </c>
      <c r="J37" s="19" t="n"/>
      <c r="K37" s="20" t="n"/>
      <c r="L37" s="18" t="n"/>
    </row>
    <row r="38">
      <c r="A38" s="19" t="n"/>
      <c r="B38" s="19" t="n"/>
      <c r="C38" s="19" t="n"/>
      <c r="D38" s="19" t="n"/>
      <c r="E38" s="20" t="n"/>
      <c r="F38" s="21" t="n"/>
      <c r="G38" s="22">
        <f>IFERROR(IF(C38="","",SUMIFS('Cheque Register'!$H$5:$H$304,'Cheque Register'!$D$5:$D$304,C38,'Cheque Register'!$I$5:$I$304,"Pending")),0)</f>
        <v/>
      </c>
      <c r="H38" s="25" t="n"/>
      <c r="I38" s="22">
        <f>IFERROR(IF(F38="","",F38-G38-H38),0)</f>
        <v/>
      </c>
      <c r="J38" s="19" t="n"/>
      <c r="K38" s="20" t="n"/>
      <c r="L38" s="18" t="n"/>
    </row>
    <row r="39">
      <c r="A39" s="19" t="n"/>
      <c r="B39" s="19" t="n"/>
      <c r="C39" s="19" t="n"/>
      <c r="D39" s="19" t="n"/>
      <c r="E39" s="20" t="n"/>
      <c r="F39" s="21" t="n"/>
      <c r="G39" s="22">
        <f>IFERROR(IF(C39="","",SUMIFS('Cheque Register'!$H$5:$H$304,'Cheque Register'!$D$5:$D$304,C39,'Cheque Register'!$I$5:$I$304,"Pending")),0)</f>
        <v/>
      </c>
      <c r="H39" s="25" t="n"/>
      <c r="I39" s="22">
        <f>IFERROR(IF(F39="","",F39-G39-H39),0)</f>
        <v/>
      </c>
      <c r="J39" s="19" t="n"/>
      <c r="K39" s="20" t="n"/>
      <c r="L39" s="18" t="n"/>
    </row>
    <row r="40">
      <c r="A40" s="19" t="n"/>
      <c r="B40" s="19" t="n"/>
      <c r="C40" s="19" t="n"/>
      <c r="D40" s="19" t="n"/>
      <c r="E40" s="20" t="n"/>
      <c r="F40" s="21" t="n"/>
      <c r="G40" s="22">
        <f>IFERROR(IF(C40="","",SUMIFS('Cheque Register'!$H$5:$H$304,'Cheque Register'!$D$5:$D$304,C40,'Cheque Register'!$I$5:$I$304,"Pending")),0)</f>
        <v/>
      </c>
      <c r="H40" s="25" t="n"/>
      <c r="I40" s="22">
        <f>IFERROR(IF(F40="","",F40-G40-H40),0)</f>
        <v/>
      </c>
      <c r="J40" s="19" t="n"/>
      <c r="K40" s="20" t="n"/>
      <c r="L40" s="18" t="n"/>
    </row>
    <row r="41">
      <c r="A41" s="19" t="n"/>
      <c r="B41" s="19" t="n"/>
      <c r="C41" s="19" t="n"/>
      <c r="D41" s="19" t="n"/>
      <c r="E41" s="20" t="n"/>
      <c r="F41" s="21" t="n"/>
      <c r="G41" s="22">
        <f>IFERROR(IF(C41="","",SUMIFS('Cheque Register'!$H$5:$H$304,'Cheque Register'!$D$5:$D$304,C41,'Cheque Register'!$I$5:$I$304,"Pending")),0)</f>
        <v/>
      </c>
      <c r="H41" s="25" t="n"/>
      <c r="I41" s="22">
        <f>IFERROR(IF(F41="","",F41-G41-H41),0)</f>
        <v/>
      </c>
      <c r="J41" s="19" t="n"/>
      <c r="K41" s="20" t="n"/>
      <c r="L41" s="18" t="n"/>
    </row>
    <row r="42">
      <c r="A42" s="19" t="n"/>
      <c r="B42" s="19" t="n"/>
      <c r="C42" s="19" t="n"/>
      <c r="D42" s="19" t="n"/>
      <c r="E42" s="20" t="n"/>
      <c r="F42" s="21" t="n"/>
      <c r="G42" s="22">
        <f>IFERROR(IF(C42="","",SUMIFS('Cheque Register'!$H$5:$H$304,'Cheque Register'!$D$5:$D$304,C42,'Cheque Register'!$I$5:$I$304,"Pending")),0)</f>
        <v/>
      </c>
      <c r="H42" s="25" t="n"/>
      <c r="I42" s="22">
        <f>IFERROR(IF(F42="","",F42-G42-H42),0)</f>
        <v/>
      </c>
      <c r="J42" s="19" t="n"/>
      <c r="K42" s="20" t="n"/>
      <c r="L42" s="18" t="n"/>
    </row>
    <row r="43">
      <c r="A43" s="19" t="n"/>
      <c r="B43" s="19" t="n"/>
      <c r="C43" s="19" t="n"/>
      <c r="D43" s="19" t="n"/>
      <c r="E43" s="20" t="n"/>
      <c r="F43" s="21" t="n"/>
      <c r="G43" s="22">
        <f>IFERROR(IF(C43="","",SUMIFS('Cheque Register'!$H$5:$H$304,'Cheque Register'!$D$5:$D$304,C43,'Cheque Register'!$I$5:$I$304,"Pending")),0)</f>
        <v/>
      </c>
      <c r="H43" s="25" t="n"/>
      <c r="I43" s="22">
        <f>IFERROR(IF(F43="","",F43-G43-H43),0)</f>
        <v/>
      </c>
      <c r="J43" s="19" t="n"/>
      <c r="K43" s="20" t="n"/>
      <c r="L43" s="18" t="n"/>
    </row>
    <row r="44">
      <c r="A44" s="19" t="n"/>
      <c r="B44" s="19" t="n"/>
      <c r="C44" s="19" t="n"/>
      <c r="D44" s="19" t="n"/>
      <c r="E44" s="20" t="n"/>
      <c r="F44" s="21" t="n"/>
      <c r="G44" s="22">
        <f>IFERROR(IF(C44="","",SUMIFS('Cheque Register'!$H$5:$H$304,'Cheque Register'!$D$5:$D$304,C44,'Cheque Register'!$I$5:$I$304,"Pending")),0)</f>
        <v/>
      </c>
      <c r="H44" s="25" t="n"/>
      <c r="I44" s="22">
        <f>IFERROR(IF(F44="","",F44-G44-H44),0)</f>
        <v/>
      </c>
      <c r="J44" s="19" t="n"/>
      <c r="K44" s="20" t="n"/>
      <c r="L44" s="18" t="n"/>
    </row>
    <row r="45">
      <c r="A45" s="19" t="n"/>
      <c r="B45" s="19" t="n"/>
      <c r="C45" s="19" t="n"/>
      <c r="D45" s="19" t="n"/>
      <c r="E45" s="20" t="n"/>
      <c r="F45" s="21" t="n"/>
      <c r="G45" s="22">
        <f>IFERROR(IF(C45="","",SUMIFS('Cheque Register'!$H$5:$H$304,'Cheque Register'!$D$5:$D$304,C45,'Cheque Register'!$I$5:$I$304,"Pending")),0)</f>
        <v/>
      </c>
      <c r="H45" s="25" t="n"/>
      <c r="I45" s="22">
        <f>IFERROR(IF(F45="","",F45-G45-H45),0)</f>
        <v/>
      </c>
      <c r="J45" s="19" t="n"/>
      <c r="K45" s="20" t="n"/>
      <c r="L45" s="18" t="n"/>
    </row>
    <row r="46">
      <c r="A46" s="19" t="n"/>
      <c r="B46" s="19" t="n"/>
      <c r="C46" s="19" t="n"/>
      <c r="D46" s="19" t="n"/>
      <c r="E46" s="20" t="n"/>
      <c r="F46" s="21" t="n"/>
      <c r="G46" s="22">
        <f>IFERROR(IF(C46="","",SUMIFS('Cheque Register'!$H$5:$H$304,'Cheque Register'!$D$5:$D$304,C46,'Cheque Register'!$I$5:$I$304,"Pending")),0)</f>
        <v/>
      </c>
      <c r="H46" s="25" t="n"/>
      <c r="I46" s="22">
        <f>IFERROR(IF(F46="","",F46-G46-H46),0)</f>
        <v/>
      </c>
      <c r="J46" s="19" t="n"/>
      <c r="K46" s="20" t="n"/>
      <c r="L46" s="18" t="n"/>
    </row>
    <row r="47">
      <c r="A47" s="19" t="n"/>
      <c r="B47" s="19" t="n"/>
      <c r="C47" s="19" t="n"/>
      <c r="D47" s="19" t="n"/>
      <c r="E47" s="20" t="n"/>
      <c r="F47" s="21" t="n"/>
      <c r="G47" s="22">
        <f>IFERROR(IF(C47="","",SUMIFS('Cheque Register'!$H$5:$H$304,'Cheque Register'!$D$5:$D$304,C47,'Cheque Register'!$I$5:$I$304,"Pending")),0)</f>
        <v/>
      </c>
      <c r="H47" s="25" t="n"/>
      <c r="I47" s="22">
        <f>IFERROR(IF(F47="","",F47-G47-H47),0)</f>
        <v/>
      </c>
      <c r="J47" s="19" t="n"/>
      <c r="K47" s="20" t="n"/>
      <c r="L47" s="18" t="n"/>
    </row>
    <row r="48">
      <c r="A48" s="19" t="n"/>
      <c r="B48" s="19" t="n"/>
      <c r="C48" s="19" t="n"/>
      <c r="D48" s="19" t="n"/>
      <c r="E48" s="20" t="n"/>
      <c r="F48" s="21" t="n"/>
      <c r="G48" s="22">
        <f>IFERROR(IF(C48="","",SUMIFS('Cheque Register'!$H$5:$H$304,'Cheque Register'!$D$5:$D$304,C48,'Cheque Register'!$I$5:$I$304,"Pending")),0)</f>
        <v/>
      </c>
      <c r="H48" s="25" t="n"/>
      <c r="I48" s="22">
        <f>IFERROR(IF(F48="","",F48-G48-H48),0)</f>
        <v/>
      </c>
      <c r="J48" s="19" t="n"/>
      <c r="K48" s="20" t="n"/>
      <c r="L48" s="18" t="n"/>
    </row>
    <row r="49">
      <c r="A49" s="19" t="n"/>
      <c r="B49" s="19" t="n"/>
      <c r="C49" s="19" t="n"/>
      <c r="D49" s="19" t="n"/>
      <c r="E49" s="20" t="n"/>
      <c r="F49" s="21" t="n"/>
      <c r="G49" s="22">
        <f>IFERROR(IF(C49="","",SUMIFS('Cheque Register'!$H$5:$H$304,'Cheque Register'!$D$5:$D$304,C49,'Cheque Register'!$I$5:$I$304,"Pending")),0)</f>
        <v/>
      </c>
      <c r="H49" s="25" t="n"/>
      <c r="I49" s="22">
        <f>IFERROR(IF(F49="","",F49-G49-H49),0)</f>
        <v/>
      </c>
      <c r="J49" s="19" t="n"/>
      <c r="K49" s="20" t="n"/>
      <c r="L49" s="18" t="n"/>
    </row>
    <row r="50">
      <c r="A50" s="19" t="n"/>
      <c r="B50" s="19" t="n"/>
      <c r="C50" s="19" t="n"/>
      <c r="D50" s="19" t="n"/>
      <c r="E50" s="20" t="n"/>
      <c r="F50" s="21" t="n"/>
      <c r="G50" s="22">
        <f>IFERROR(IF(C50="","",SUMIFS('Cheque Register'!$H$5:$H$304,'Cheque Register'!$D$5:$D$304,C50,'Cheque Register'!$I$5:$I$304,"Pending")),0)</f>
        <v/>
      </c>
      <c r="H50" s="25" t="n"/>
      <c r="I50" s="22">
        <f>IFERROR(IF(F50="","",F50-G50-H50),0)</f>
        <v/>
      </c>
      <c r="J50" s="19" t="n"/>
      <c r="K50" s="20" t="n"/>
      <c r="L50" s="18" t="n"/>
    </row>
    <row r="51">
      <c r="A51" s="19" t="n"/>
      <c r="B51" s="19" t="n"/>
      <c r="C51" s="19" t="n"/>
      <c r="D51" s="19" t="n"/>
      <c r="E51" s="20" t="n"/>
      <c r="F51" s="21" t="n"/>
      <c r="G51" s="22">
        <f>IFERROR(IF(C51="","",SUMIFS('Cheque Register'!$H$5:$H$304,'Cheque Register'!$D$5:$D$304,C51,'Cheque Register'!$I$5:$I$304,"Pending")),0)</f>
        <v/>
      </c>
      <c r="H51" s="25" t="n"/>
      <c r="I51" s="22">
        <f>IFERROR(IF(F51="","",F51-G51-H51),0)</f>
        <v/>
      </c>
      <c r="J51" s="19" t="n"/>
      <c r="K51" s="20" t="n"/>
      <c r="L51" s="18" t="n"/>
    </row>
    <row r="52">
      <c r="A52" s="19" t="n"/>
      <c r="B52" s="19" t="n"/>
      <c r="C52" s="19" t="n"/>
      <c r="D52" s="19" t="n"/>
      <c r="E52" s="20" t="n"/>
      <c r="F52" s="21" t="n"/>
      <c r="G52" s="22">
        <f>IFERROR(IF(C52="","",SUMIFS('Cheque Register'!$H$5:$H$304,'Cheque Register'!$D$5:$D$304,C52,'Cheque Register'!$I$5:$I$304,"Pending")),0)</f>
        <v/>
      </c>
      <c r="H52" s="25" t="n"/>
      <c r="I52" s="22">
        <f>IFERROR(IF(F52="","",F52-G52-H52),0)</f>
        <v/>
      </c>
      <c r="J52" s="19" t="n"/>
      <c r="K52" s="20" t="n"/>
      <c r="L52" s="18" t="n"/>
    </row>
    <row r="53">
      <c r="A53" s="19" t="n"/>
      <c r="B53" s="19" t="n"/>
      <c r="C53" s="19" t="n"/>
      <c r="D53" s="19" t="n"/>
      <c r="E53" s="20" t="n"/>
      <c r="F53" s="21" t="n"/>
      <c r="G53" s="22">
        <f>IFERROR(IF(C53="","",SUMIFS('Cheque Register'!$H$5:$H$304,'Cheque Register'!$D$5:$D$304,C53,'Cheque Register'!$I$5:$I$304,"Pending")),0)</f>
        <v/>
      </c>
      <c r="H53" s="25" t="n"/>
      <c r="I53" s="22">
        <f>IFERROR(IF(F53="","",F53-G53-H53),0)</f>
        <v/>
      </c>
      <c r="J53" s="19" t="n"/>
      <c r="K53" s="20" t="n"/>
      <c r="L53" s="18" t="n"/>
    </row>
    <row r="54">
      <c r="A54" s="19" t="n"/>
      <c r="B54" s="19" t="n"/>
      <c r="C54" s="19" t="n"/>
      <c r="D54" s="19" t="n"/>
      <c r="E54" s="20" t="n"/>
      <c r="F54" s="21" t="n"/>
      <c r="G54" s="22">
        <f>IFERROR(IF(C54="","",SUMIFS('Cheque Register'!$H$5:$H$304,'Cheque Register'!$D$5:$D$304,C54,'Cheque Register'!$I$5:$I$304,"Pending")),0)</f>
        <v/>
      </c>
      <c r="H54" s="25" t="n"/>
      <c r="I54" s="22">
        <f>IFERROR(IF(F54="","",F54-G54-H54),0)</f>
        <v/>
      </c>
      <c r="J54" s="19" t="n"/>
      <c r="K54" s="20" t="n"/>
      <c r="L54" s="18" t="n"/>
    </row>
    <row r="55">
      <c r="A55" s="19" t="n"/>
      <c r="B55" s="19" t="n"/>
      <c r="C55" s="19" t="n"/>
      <c r="D55" s="19" t="n"/>
      <c r="E55" s="20" t="n"/>
      <c r="F55" s="21" t="n"/>
      <c r="G55" s="22">
        <f>IFERROR(IF(C55="","",SUMIFS('Cheque Register'!$H$5:$H$304,'Cheque Register'!$D$5:$D$304,C55,'Cheque Register'!$I$5:$I$304,"Pending")),0)</f>
        <v/>
      </c>
      <c r="H55" s="25" t="n"/>
      <c r="I55" s="22">
        <f>IFERROR(IF(F55="","",F55-G55-H55),0)</f>
        <v/>
      </c>
      <c r="J55" s="19" t="n"/>
      <c r="K55" s="20" t="n"/>
      <c r="L55" s="18" t="n"/>
    </row>
    <row r="56">
      <c r="A56" s="19" t="n"/>
      <c r="B56" s="19" t="n"/>
      <c r="C56" s="19" t="n"/>
      <c r="D56" s="19" t="n"/>
      <c r="E56" s="20" t="n"/>
      <c r="F56" s="21" t="n"/>
      <c r="G56" s="22">
        <f>IFERROR(IF(C56="","",SUMIFS('Cheque Register'!$H$5:$H$304,'Cheque Register'!$D$5:$D$304,C56,'Cheque Register'!$I$5:$I$304,"Pending")),0)</f>
        <v/>
      </c>
      <c r="H56" s="25" t="n"/>
      <c r="I56" s="22">
        <f>IFERROR(IF(F56="","",F56-G56-H56),0)</f>
        <v/>
      </c>
      <c r="J56" s="19" t="n"/>
      <c r="K56" s="20" t="n"/>
      <c r="L56" s="18" t="n"/>
    </row>
    <row r="57">
      <c r="A57" s="19" t="n"/>
      <c r="B57" s="19" t="n"/>
      <c r="C57" s="19" t="n"/>
      <c r="D57" s="19" t="n"/>
      <c r="E57" s="20" t="n"/>
      <c r="F57" s="21" t="n"/>
      <c r="G57" s="22">
        <f>IFERROR(IF(C57="","",SUMIFS('Cheque Register'!$H$5:$H$304,'Cheque Register'!$D$5:$D$304,C57,'Cheque Register'!$I$5:$I$304,"Pending")),0)</f>
        <v/>
      </c>
      <c r="H57" s="25" t="n"/>
      <c r="I57" s="22">
        <f>IFERROR(IF(F57="","",F57-G57-H57),0)</f>
        <v/>
      </c>
      <c r="J57" s="19" t="n"/>
      <c r="K57" s="20" t="n"/>
      <c r="L57" s="18" t="n"/>
    </row>
    <row r="58">
      <c r="A58" s="19" t="n"/>
      <c r="B58" s="19" t="n"/>
      <c r="C58" s="19" t="n"/>
      <c r="D58" s="19" t="n"/>
      <c r="E58" s="20" t="n"/>
      <c r="F58" s="21" t="n"/>
      <c r="G58" s="22">
        <f>IFERROR(IF(C58="","",SUMIFS('Cheque Register'!$H$5:$H$304,'Cheque Register'!$D$5:$D$304,C58,'Cheque Register'!$I$5:$I$304,"Pending")),0)</f>
        <v/>
      </c>
      <c r="H58" s="25" t="n"/>
      <c r="I58" s="22">
        <f>IFERROR(IF(F58="","",F58-G58-H58),0)</f>
        <v/>
      </c>
      <c r="J58" s="19" t="n"/>
      <c r="K58" s="20" t="n"/>
      <c r="L58" s="18" t="n"/>
    </row>
    <row r="59">
      <c r="A59" s="19" t="n"/>
      <c r="B59" s="19" t="n"/>
      <c r="C59" s="19" t="n"/>
      <c r="D59" s="19" t="n"/>
      <c r="E59" s="20" t="n"/>
      <c r="F59" s="21" t="n"/>
      <c r="G59" s="22">
        <f>IFERROR(IF(C59="","",SUMIFS('Cheque Register'!$H$5:$H$304,'Cheque Register'!$D$5:$D$304,C59,'Cheque Register'!$I$5:$I$304,"Pending")),0)</f>
        <v/>
      </c>
      <c r="H59" s="25" t="n"/>
      <c r="I59" s="22">
        <f>IFERROR(IF(F59="","",F59-G59-H59),0)</f>
        <v/>
      </c>
      <c r="J59" s="19" t="n"/>
      <c r="K59" s="20" t="n"/>
      <c r="L59" s="18" t="n"/>
    </row>
    <row r="60">
      <c r="A60" s="19" t="n"/>
      <c r="B60" s="19" t="n"/>
      <c r="C60" s="19" t="n"/>
      <c r="D60" s="19" t="n"/>
      <c r="E60" s="20" t="n"/>
      <c r="F60" s="21" t="n"/>
      <c r="G60" s="22">
        <f>IFERROR(IF(C60="","",SUMIFS('Cheque Register'!$H$5:$H$304,'Cheque Register'!$D$5:$D$304,C60,'Cheque Register'!$I$5:$I$304,"Pending")),0)</f>
        <v/>
      </c>
      <c r="H60" s="25" t="n"/>
      <c r="I60" s="22">
        <f>IFERROR(IF(F60="","",F60-G60-H60),0)</f>
        <v/>
      </c>
      <c r="J60" s="19" t="n"/>
      <c r="K60" s="20" t="n"/>
      <c r="L60" s="18" t="n"/>
    </row>
    <row r="61">
      <c r="A61" s="19" t="n"/>
      <c r="B61" s="19" t="n"/>
      <c r="C61" s="19" t="n"/>
      <c r="D61" s="19" t="n"/>
      <c r="E61" s="20" t="n"/>
      <c r="F61" s="21" t="n"/>
      <c r="G61" s="22">
        <f>IFERROR(IF(C61="","",SUMIFS('Cheque Register'!$H$5:$H$304,'Cheque Register'!$D$5:$D$304,C61,'Cheque Register'!$I$5:$I$304,"Pending")),0)</f>
        <v/>
      </c>
      <c r="H61" s="25" t="n"/>
      <c r="I61" s="22">
        <f>IFERROR(IF(F61="","",F61-G61-H61),0)</f>
        <v/>
      </c>
      <c r="J61" s="19" t="n"/>
      <c r="K61" s="20" t="n"/>
      <c r="L61" s="18" t="n"/>
    </row>
    <row r="62">
      <c r="A62" s="19" t="n"/>
      <c r="B62" s="19" t="n"/>
      <c r="C62" s="19" t="n"/>
      <c r="D62" s="19" t="n"/>
      <c r="E62" s="20" t="n"/>
      <c r="F62" s="21" t="n"/>
      <c r="G62" s="22">
        <f>IFERROR(IF(C62="","",SUMIFS('Cheque Register'!$H$5:$H$304,'Cheque Register'!$D$5:$D$304,C62,'Cheque Register'!$I$5:$I$304,"Pending")),0)</f>
        <v/>
      </c>
      <c r="H62" s="25" t="n"/>
      <c r="I62" s="22">
        <f>IFERROR(IF(F62="","",F62-G62-H62),0)</f>
        <v/>
      </c>
      <c r="J62" s="19" t="n"/>
      <c r="K62" s="20" t="n"/>
      <c r="L62" s="18" t="n"/>
    </row>
    <row r="63">
      <c r="A63" s="19" t="n"/>
      <c r="B63" s="19" t="n"/>
      <c r="C63" s="19" t="n"/>
      <c r="D63" s="19" t="n"/>
      <c r="E63" s="20" t="n"/>
      <c r="F63" s="21" t="n"/>
      <c r="G63" s="22">
        <f>IFERROR(IF(C63="","",SUMIFS('Cheque Register'!$H$5:$H$304,'Cheque Register'!$D$5:$D$304,C63,'Cheque Register'!$I$5:$I$304,"Pending")),0)</f>
        <v/>
      </c>
      <c r="H63" s="25" t="n"/>
      <c r="I63" s="22">
        <f>IFERROR(IF(F63="","",F63-G63-H63),0)</f>
        <v/>
      </c>
      <c r="J63" s="19" t="n"/>
      <c r="K63" s="20" t="n"/>
      <c r="L63" s="18" t="n"/>
    </row>
    <row r="64">
      <c r="A64" s="19" t="n"/>
      <c r="B64" s="19" t="n"/>
      <c r="C64" s="19" t="n"/>
      <c r="D64" s="19" t="n"/>
      <c r="E64" s="20" t="n"/>
      <c r="F64" s="21" t="n"/>
      <c r="G64" s="22">
        <f>IFERROR(IF(C64="","",SUMIFS('Cheque Register'!$H$5:$H$304,'Cheque Register'!$D$5:$D$304,C64,'Cheque Register'!$I$5:$I$304,"Pending")),0)</f>
        <v/>
      </c>
      <c r="H64" s="25" t="n"/>
      <c r="I64" s="22">
        <f>IFERROR(IF(F64="","",F64-G64-H64),0)</f>
        <v/>
      </c>
      <c r="J64" s="19" t="n"/>
      <c r="K64" s="20" t="n"/>
      <c r="L64" s="18" t="n"/>
    </row>
    <row r="65">
      <c r="A65" s="19" t="n"/>
      <c r="B65" s="19" t="n"/>
      <c r="C65" s="19" t="n"/>
      <c r="D65" s="19" t="n"/>
      <c r="E65" s="20" t="n"/>
      <c r="F65" s="21" t="n"/>
      <c r="G65" s="22">
        <f>IFERROR(IF(C65="","",SUMIFS('Cheque Register'!$H$5:$H$304,'Cheque Register'!$D$5:$D$304,C65,'Cheque Register'!$I$5:$I$304,"Pending")),0)</f>
        <v/>
      </c>
      <c r="H65" s="25" t="n"/>
      <c r="I65" s="22">
        <f>IFERROR(IF(F65="","",F65-G65-H65),0)</f>
        <v/>
      </c>
      <c r="J65" s="19" t="n"/>
      <c r="K65" s="20" t="n"/>
      <c r="L65" s="18" t="n"/>
    </row>
    <row r="66">
      <c r="A66" s="19" t="n"/>
      <c r="B66" s="19" t="n"/>
      <c r="C66" s="19" t="n"/>
      <c r="D66" s="19" t="n"/>
      <c r="E66" s="20" t="n"/>
      <c r="F66" s="21" t="n"/>
      <c r="G66" s="22">
        <f>IFERROR(IF(C66="","",SUMIFS('Cheque Register'!$H$5:$H$304,'Cheque Register'!$D$5:$D$304,C66,'Cheque Register'!$I$5:$I$304,"Pending")),0)</f>
        <v/>
      </c>
      <c r="H66" s="25" t="n"/>
      <c r="I66" s="22">
        <f>IFERROR(IF(F66="","",F66-G66-H66),0)</f>
        <v/>
      </c>
      <c r="J66" s="19" t="n"/>
      <c r="K66" s="20" t="n"/>
      <c r="L66" s="18" t="n"/>
    </row>
    <row r="67">
      <c r="A67" s="19" t="n"/>
      <c r="B67" s="19" t="n"/>
      <c r="C67" s="19" t="n"/>
      <c r="D67" s="19" t="n"/>
      <c r="E67" s="20" t="n"/>
      <c r="F67" s="21" t="n"/>
      <c r="G67" s="22">
        <f>IFERROR(IF(C67="","",SUMIFS('Cheque Register'!$H$5:$H$304,'Cheque Register'!$D$5:$D$304,C67,'Cheque Register'!$I$5:$I$304,"Pending")),0)</f>
        <v/>
      </c>
      <c r="H67" s="25" t="n"/>
      <c r="I67" s="22">
        <f>IFERROR(IF(F67="","",F67-G67-H67),0)</f>
        <v/>
      </c>
      <c r="J67" s="19" t="n"/>
      <c r="K67" s="20" t="n"/>
      <c r="L67" s="18" t="n"/>
    </row>
    <row r="68">
      <c r="A68" s="19" t="n"/>
      <c r="B68" s="19" t="n"/>
      <c r="C68" s="19" t="n"/>
      <c r="D68" s="19" t="n"/>
      <c r="E68" s="20" t="n"/>
      <c r="F68" s="21" t="n"/>
      <c r="G68" s="22">
        <f>IFERROR(IF(C68="","",SUMIFS('Cheque Register'!$H$5:$H$304,'Cheque Register'!$D$5:$D$304,C68,'Cheque Register'!$I$5:$I$304,"Pending")),0)</f>
        <v/>
      </c>
      <c r="H68" s="25" t="n"/>
      <c r="I68" s="22">
        <f>IFERROR(IF(F68="","",F68-G68-H68),0)</f>
        <v/>
      </c>
      <c r="J68" s="19" t="n"/>
      <c r="K68" s="20" t="n"/>
      <c r="L68" s="18" t="n"/>
    </row>
    <row r="69">
      <c r="A69" s="19" t="n"/>
      <c r="B69" s="19" t="n"/>
      <c r="C69" s="19" t="n"/>
      <c r="D69" s="19" t="n"/>
      <c r="E69" s="20" t="n"/>
      <c r="F69" s="21" t="n"/>
      <c r="G69" s="22">
        <f>IFERROR(IF(C69="","",SUMIFS('Cheque Register'!$H$5:$H$304,'Cheque Register'!$D$5:$D$304,C69,'Cheque Register'!$I$5:$I$304,"Pending")),0)</f>
        <v/>
      </c>
      <c r="H69" s="25" t="n"/>
      <c r="I69" s="22">
        <f>IFERROR(IF(F69="","",F69-G69-H69),0)</f>
        <v/>
      </c>
      <c r="J69" s="19" t="n"/>
      <c r="K69" s="20" t="n"/>
      <c r="L69" s="18" t="n"/>
    </row>
    <row r="70">
      <c r="A70" s="19" t="n"/>
      <c r="B70" s="19" t="n"/>
      <c r="C70" s="19" t="n"/>
      <c r="D70" s="19" t="n"/>
      <c r="E70" s="20" t="n"/>
      <c r="F70" s="21" t="n"/>
      <c r="G70" s="22">
        <f>IFERROR(IF(C70="","",SUMIFS('Cheque Register'!$H$5:$H$304,'Cheque Register'!$D$5:$D$304,C70,'Cheque Register'!$I$5:$I$304,"Pending")),0)</f>
        <v/>
      </c>
      <c r="H70" s="25" t="n"/>
      <c r="I70" s="22">
        <f>IFERROR(IF(F70="","",F70-G70-H70),0)</f>
        <v/>
      </c>
      <c r="J70" s="19" t="n"/>
      <c r="K70" s="20" t="n"/>
      <c r="L70" s="18" t="n"/>
    </row>
    <row r="71">
      <c r="A71" s="19" t="n"/>
      <c r="B71" s="19" t="n"/>
      <c r="C71" s="19" t="n"/>
      <c r="D71" s="19" t="n"/>
      <c r="E71" s="20" t="n"/>
      <c r="F71" s="21" t="n"/>
      <c r="G71" s="22">
        <f>IFERROR(IF(C71="","",SUMIFS('Cheque Register'!$H$5:$H$304,'Cheque Register'!$D$5:$D$304,C71,'Cheque Register'!$I$5:$I$304,"Pending")),0)</f>
        <v/>
      </c>
      <c r="H71" s="25" t="n"/>
      <c r="I71" s="22">
        <f>IFERROR(IF(F71="","",F71-G71-H71),0)</f>
        <v/>
      </c>
      <c r="J71" s="19" t="n"/>
      <c r="K71" s="20" t="n"/>
      <c r="L71" s="18" t="n"/>
    </row>
    <row r="72">
      <c r="A72" s="19" t="n"/>
      <c r="B72" s="19" t="n"/>
      <c r="C72" s="19" t="n"/>
      <c r="D72" s="19" t="n"/>
      <c r="E72" s="20" t="n"/>
      <c r="F72" s="21" t="n"/>
      <c r="G72" s="22">
        <f>IFERROR(IF(C72="","",SUMIFS('Cheque Register'!$H$5:$H$304,'Cheque Register'!$D$5:$D$304,C72,'Cheque Register'!$I$5:$I$304,"Pending")),0)</f>
        <v/>
      </c>
      <c r="H72" s="25" t="n"/>
      <c r="I72" s="22">
        <f>IFERROR(IF(F72="","",F72-G72-H72),0)</f>
        <v/>
      </c>
      <c r="J72" s="19" t="n"/>
      <c r="K72" s="20" t="n"/>
      <c r="L72" s="18" t="n"/>
    </row>
    <row r="73">
      <c r="A73" s="19" t="n"/>
      <c r="B73" s="19" t="n"/>
      <c r="C73" s="19" t="n"/>
      <c r="D73" s="19" t="n"/>
      <c r="E73" s="20" t="n"/>
      <c r="F73" s="21" t="n"/>
      <c r="G73" s="22">
        <f>IFERROR(IF(C73="","",SUMIFS('Cheque Register'!$H$5:$H$304,'Cheque Register'!$D$5:$D$304,C73,'Cheque Register'!$I$5:$I$304,"Pending")),0)</f>
        <v/>
      </c>
      <c r="H73" s="25" t="n"/>
      <c r="I73" s="22">
        <f>IFERROR(IF(F73="","",F73-G73-H73),0)</f>
        <v/>
      </c>
      <c r="J73" s="19" t="n"/>
      <c r="K73" s="20" t="n"/>
      <c r="L73" s="18" t="n"/>
    </row>
    <row r="74">
      <c r="A74" s="19" t="n"/>
      <c r="B74" s="19" t="n"/>
      <c r="C74" s="19" t="n"/>
      <c r="D74" s="19" t="n"/>
      <c r="E74" s="20" t="n"/>
      <c r="F74" s="21" t="n"/>
      <c r="G74" s="22">
        <f>IFERROR(IF(C74="","",SUMIFS('Cheque Register'!$H$5:$H$304,'Cheque Register'!$D$5:$D$304,C74,'Cheque Register'!$I$5:$I$304,"Pending")),0)</f>
        <v/>
      </c>
      <c r="H74" s="25" t="n"/>
      <c r="I74" s="22">
        <f>IFERROR(IF(F74="","",F74-G74-H74),0)</f>
        <v/>
      </c>
      <c r="J74" s="19" t="n"/>
      <c r="K74" s="20" t="n"/>
      <c r="L74" s="18" t="n"/>
    </row>
    <row r="75">
      <c r="A75" s="19" t="n"/>
      <c r="B75" s="19" t="n"/>
      <c r="C75" s="19" t="n"/>
      <c r="D75" s="19" t="n"/>
      <c r="E75" s="20" t="n"/>
      <c r="F75" s="21" t="n"/>
      <c r="G75" s="22">
        <f>IFERROR(IF(C75="","",SUMIFS('Cheque Register'!$H$5:$H$304,'Cheque Register'!$D$5:$D$304,C75,'Cheque Register'!$I$5:$I$304,"Pending")),0)</f>
        <v/>
      </c>
      <c r="H75" s="25" t="n"/>
      <c r="I75" s="22">
        <f>IFERROR(IF(F75="","",F75-G75-H75),0)</f>
        <v/>
      </c>
      <c r="J75" s="19" t="n"/>
      <c r="K75" s="20" t="n"/>
      <c r="L75" s="18" t="n"/>
    </row>
    <row r="76">
      <c r="A76" s="19" t="n"/>
      <c r="B76" s="19" t="n"/>
      <c r="C76" s="19" t="n"/>
      <c r="D76" s="19" t="n"/>
      <c r="E76" s="20" t="n"/>
      <c r="F76" s="21" t="n"/>
      <c r="G76" s="22">
        <f>IFERROR(IF(C76="","",SUMIFS('Cheque Register'!$H$5:$H$304,'Cheque Register'!$D$5:$D$304,C76,'Cheque Register'!$I$5:$I$304,"Pending")),0)</f>
        <v/>
      </c>
      <c r="H76" s="25" t="n"/>
      <c r="I76" s="22">
        <f>IFERROR(IF(F76="","",F76-G76-H76),0)</f>
        <v/>
      </c>
      <c r="J76" s="19" t="n"/>
      <c r="K76" s="20" t="n"/>
      <c r="L76" s="18" t="n"/>
    </row>
    <row r="77">
      <c r="A77" s="19" t="n"/>
      <c r="B77" s="19" t="n"/>
      <c r="C77" s="19" t="n"/>
      <c r="D77" s="19" t="n"/>
      <c r="E77" s="20" t="n"/>
      <c r="F77" s="21" t="n"/>
      <c r="G77" s="22">
        <f>IFERROR(IF(C77="","",SUMIFS('Cheque Register'!$H$5:$H$304,'Cheque Register'!$D$5:$D$304,C77,'Cheque Register'!$I$5:$I$304,"Pending")),0)</f>
        <v/>
      </c>
      <c r="H77" s="25" t="n"/>
      <c r="I77" s="22">
        <f>IFERROR(IF(F77="","",F77-G77-H77),0)</f>
        <v/>
      </c>
      <c r="J77" s="19" t="n"/>
      <c r="K77" s="20" t="n"/>
      <c r="L77" s="18" t="n"/>
    </row>
    <row r="78">
      <c r="A78" s="19" t="n"/>
      <c r="B78" s="19" t="n"/>
      <c r="C78" s="19" t="n"/>
      <c r="D78" s="19" t="n"/>
      <c r="E78" s="20" t="n"/>
      <c r="F78" s="21" t="n"/>
      <c r="G78" s="22">
        <f>IFERROR(IF(C78="","",SUMIFS('Cheque Register'!$H$5:$H$304,'Cheque Register'!$D$5:$D$304,C78,'Cheque Register'!$I$5:$I$304,"Pending")),0)</f>
        <v/>
      </c>
      <c r="H78" s="25" t="n"/>
      <c r="I78" s="22">
        <f>IFERROR(IF(F78="","",F78-G78-H78),0)</f>
        <v/>
      </c>
      <c r="J78" s="19" t="n"/>
      <c r="K78" s="20" t="n"/>
      <c r="L78" s="18" t="n"/>
    </row>
    <row r="79">
      <c r="A79" s="19" t="n"/>
      <c r="B79" s="19" t="n"/>
      <c r="C79" s="19" t="n"/>
      <c r="D79" s="19" t="n"/>
      <c r="E79" s="20" t="n"/>
      <c r="F79" s="21" t="n"/>
      <c r="G79" s="22">
        <f>IFERROR(IF(C79="","",SUMIFS('Cheque Register'!$H$5:$H$304,'Cheque Register'!$D$5:$D$304,C79,'Cheque Register'!$I$5:$I$304,"Pending")),0)</f>
        <v/>
      </c>
      <c r="H79" s="25" t="n"/>
      <c r="I79" s="22">
        <f>IFERROR(IF(F79="","",F79-G79-H79),0)</f>
        <v/>
      </c>
      <c r="J79" s="19" t="n"/>
      <c r="K79" s="20" t="n"/>
      <c r="L79" s="18" t="n"/>
    </row>
    <row r="80">
      <c r="A80" s="19" t="n"/>
      <c r="B80" s="19" t="n"/>
      <c r="C80" s="19" t="n"/>
      <c r="D80" s="19" t="n"/>
      <c r="E80" s="20" t="n"/>
      <c r="F80" s="21" t="n"/>
      <c r="G80" s="22">
        <f>IFERROR(IF(C80="","",SUMIFS('Cheque Register'!$H$5:$H$304,'Cheque Register'!$D$5:$D$304,C80,'Cheque Register'!$I$5:$I$304,"Pending")),0)</f>
        <v/>
      </c>
      <c r="H80" s="25" t="n"/>
      <c r="I80" s="22">
        <f>IFERROR(IF(F80="","",F80-G80-H80),0)</f>
        <v/>
      </c>
      <c r="J80" s="19" t="n"/>
      <c r="K80" s="20" t="n"/>
      <c r="L80" s="18" t="n"/>
    </row>
    <row r="81">
      <c r="A81" s="19" t="n"/>
      <c r="B81" s="19" t="n"/>
      <c r="C81" s="19" t="n"/>
      <c r="D81" s="19" t="n"/>
      <c r="E81" s="20" t="n"/>
      <c r="F81" s="21" t="n"/>
      <c r="G81" s="22">
        <f>IFERROR(IF(C81="","",SUMIFS('Cheque Register'!$H$5:$H$304,'Cheque Register'!$D$5:$D$304,C81,'Cheque Register'!$I$5:$I$304,"Pending")),0)</f>
        <v/>
      </c>
      <c r="H81" s="25" t="n"/>
      <c r="I81" s="22">
        <f>IFERROR(IF(F81="","",F81-G81-H81),0)</f>
        <v/>
      </c>
      <c r="J81" s="19" t="n"/>
      <c r="K81" s="20" t="n"/>
      <c r="L81" s="18" t="n"/>
    </row>
    <row r="82">
      <c r="A82" s="19" t="n"/>
      <c r="B82" s="19" t="n"/>
      <c r="C82" s="19" t="n"/>
      <c r="D82" s="19" t="n"/>
      <c r="E82" s="20" t="n"/>
      <c r="F82" s="21" t="n"/>
      <c r="G82" s="22">
        <f>IFERROR(IF(C82="","",SUMIFS('Cheque Register'!$H$5:$H$304,'Cheque Register'!$D$5:$D$304,C82,'Cheque Register'!$I$5:$I$304,"Pending")),0)</f>
        <v/>
      </c>
      <c r="H82" s="25" t="n"/>
      <c r="I82" s="22">
        <f>IFERROR(IF(F82="","",F82-G82-H82),0)</f>
        <v/>
      </c>
      <c r="J82" s="19" t="n"/>
      <c r="K82" s="20" t="n"/>
      <c r="L82" s="18" t="n"/>
    </row>
    <row r="83">
      <c r="A83" s="19" t="n"/>
      <c r="B83" s="19" t="n"/>
      <c r="C83" s="19" t="n"/>
      <c r="D83" s="19" t="n"/>
      <c r="E83" s="20" t="n"/>
      <c r="F83" s="21" t="n"/>
      <c r="G83" s="22">
        <f>IFERROR(IF(C83="","",SUMIFS('Cheque Register'!$H$5:$H$304,'Cheque Register'!$D$5:$D$304,C83,'Cheque Register'!$I$5:$I$304,"Pending")),0)</f>
        <v/>
      </c>
      <c r="H83" s="25" t="n"/>
      <c r="I83" s="22">
        <f>IFERROR(IF(F83="","",F83-G83-H83),0)</f>
        <v/>
      </c>
      <c r="J83" s="19" t="n"/>
      <c r="K83" s="20" t="n"/>
      <c r="L83" s="18" t="n"/>
    </row>
    <row r="84">
      <c r="A84" s="19" t="n"/>
      <c r="B84" s="19" t="n"/>
      <c r="C84" s="19" t="n"/>
      <c r="D84" s="19" t="n"/>
      <c r="E84" s="20" t="n"/>
      <c r="F84" s="21" t="n"/>
      <c r="G84" s="22">
        <f>IFERROR(IF(C84="","",SUMIFS('Cheque Register'!$H$5:$H$304,'Cheque Register'!$D$5:$D$304,C84,'Cheque Register'!$I$5:$I$304,"Pending")),0)</f>
        <v/>
      </c>
      <c r="H84" s="25" t="n"/>
      <c r="I84" s="22">
        <f>IFERROR(IF(F84="","",F84-G84-H84),0)</f>
        <v/>
      </c>
      <c r="J84" s="19" t="n"/>
      <c r="K84" s="20" t="n"/>
      <c r="L84" s="18" t="n"/>
    </row>
    <row r="85">
      <c r="A85" s="19" t="n"/>
      <c r="B85" s="19" t="n"/>
      <c r="C85" s="19" t="n"/>
      <c r="D85" s="19" t="n"/>
      <c r="E85" s="20" t="n"/>
      <c r="F85" s="21" t="n"/>
      <c r="G85" s="22">
        <f>IFERROR(IF(C85="","",SUMIFS('Cheque Register'!$H$5:$H$304,'Cheque Register'!$D$5:$D$304,C85,'Cheque Register'!$I$5:$I$304,"Pending")),0)</f>
        <v/>
      </c>
      <c r="H85" s="25" t="n"/>
      <c r="I85" s="22">
        <f>IFERROR(IF(F85="","",F85-G85-H85),0)</f>
        <v/>
      </c>
      <c r="J85" s="19" t="n"/>
      <c r="K85" s="20" t="n"/>
      <c r="L85" s="18" t="n"/>
    </row>
    <row r="86">
      <c r="A86" s="19" t="n"/>
      <c r="B86" s="19" t="n"/>
      <c r="C86" s="19" t="n"/>
      <c r="D86" s="19" t="n"/>
      <c r="E86" s="20" t="n"/>
      <c r="F86" s="21" t="n"/>
      <c r="G86" s="22">
        <f>IFERROR(IF(C86="","",SUMIFS('Cheque Register'!$H$5:$H$304,'Cheque Register'!$D$5:$D$304,C86,'Cheque Register'!$I$5:$I$304,"Pending")),0)</f>
        <v/>
      </c>
      <c r="H86" s="25" t="n"/>
      <c r="I86" s="22">
        <f>IFERROR(IF(F86="","",F86-G86-H86),0)</f>
        <v/>
      </c>
      <c r="J86" s="19" t="n"/>
      <c r="K86" s="20" t="n"/>
      <c r="L86" s="18" t="n"/>
    </row>
    <row r="87">
      <c r="A87" s="19" t="n"/>
      <c r="B87" s="19" t="n"/>
      <c r="C87" s="19" t="n"/>
      <c r="D87" s="19" t="n"/>
      <c r="E87" s="20" t="n"/>
      <c r="F87" s="21" t="n"/>
      <c r="G87" s="22">
        <f>IFERROR(IF(C87="","",SUMIFS('Cheque Register'!$H$5:$H$304,'Cheque Register'!$D$5:$D$304,C87,'Cheque Register'!$I$5:$I$304,"Pending")),0)</f>
        <v/>
      </c>
      <c r="H87" s="25" t="n"/>
      <c r="I87" s="22">
        <f>IFERROR(IF(F87="","",F87-G87-H87),0)</f>
        <v/>
      </c>
      <c r="J87" s="19" t="n"/>
      <c r="K87" s="20" t="n"/>
      <c r="L87" s="18" t="n"/>
    </row>
    <row r="88">
      <c r="A88" s="19" t="n"/>
      <c r="B88" s="19" t="n"/>
      <c r="C88" s="19" t="n"/>
      <c r="D88" s="19" t="n"/>
      <c r="E88" s="20" t="n"/>
      <c r="F88" s="21" t="n"/>
      <c r="G88" s="22">
        <f>IFERROR(IF(C88="","",SUMIFS('Cheque Register'!$H$5:$H$304,'Cheque Register'!$D$5:$D$304,C88,'Cheque Register'!$I$5:$I$304,"Pending")),0)</f>
        <v/>
      </c>
      <c r="H88" s="25" t="n"/>
      <c r="I88" s="22">
        <f>IFERROR(IF(F88="","",F88-G88-H88),0)</f>
        <v/>
      </c>
      <c r="J88" s="19" t="n"/>
      <c r="K88" s="20" t="n"/>
      <c r="L88" s="18" t="n"/>
    </row>
    <row r="89">
      <c r="A89" s="19" t="n"/>
      <c r="B89" s="19" t="n"/>
      <c r="C89" s="19" t="n"/>
      <c r="D89" s="19" t="n"/>
      <c r="E89" s="20" t="n"/>
      <c r="F89" s="21" t="n"/>
      <c r="G89" s="22">
        <f>IFERROR(IF(C89="","",SUMIFS('Cheque Register'!$H$5:$H$304,'Cheque Register'!$D$5:$D$304,C89,'Cheque Register'!$I$5:$I$304,"Pending")),0)</f>
        <v/>
      </c>
      <c r="H89" s="25" t="n"/>
      <c r="I89" s="22">
        <f>IFERROR(IF(F89="","",F89-G89-H89),0)</f>
        <v/>
      </c>
      <c r="J89" s="19" t="n"/>
      <c r="K89" s="20" t="n"/>
      <c r="L89" s="18" t="n"/>
    </row>
    <row r="90">
      <c r="A90" s="19" t="n"/>
      <c r="B90" s="19" t="n"/>
      <c r="C90" s="19" t="n"/>
      <c r="D90" s="19" t="n"/>
      <c r="E90" s="20" t="n"/>
      <c r="F90" s="21" t="n"/>
      <c r="G90" s="22">
        <f>IFERROR(IF(C90="","",SUMIFS('Cheque Register'!$H$5:$H$304,'Cheque Register'!$D$5:$D$304,C90,'Cheque Register'!$I$5:$I$304,"Pending")),0)</f>
        <v/>
      </c>
      <c r="H90" s="25" t="n"/>
      <c r="I90" s="22">
        <f>IFERROR(IF(F90="","",F90-G90-H90),0)</f>
        <v/>
      </c>
      <c r="J90" s="19" t="n"/>
      <c r="K90" s="20" t="n"/>
      <c r="L90" s="18" t="n"/>
    </row>
    <row r="91">
      <c r="A91" s="19" t="n"/>
      <c r="B91" s="19" t="n"/>
      <c r="C91" s="19" t="n"/>
      <c r="D91" s="19" t="n"/>
      <c r="E91" s="20" t="n"/>
      <c r="F91" s="21" t="n"/>
      <c r="G91" s="22">
        <f>IFERROR(IF(C91="","",SUMIFS('Cheque Register'!$H$5:$H$304,'Cheque Register'!$D$5:$D$304,C91,'Cheque Register'!$I$5:$I$304,"Pending")),0)</f>
        <v/>
      </c>
      <c r="H91" s="25" t="n"/>
      <c r="I91" s="22">
        <f>IFERROR(IF(F91="","",F91-G91-H91),0)</f>
        <v/>
      </c>
      <c r="J91" s="19" t="n"/>
      <c r="K91" s="20" t="n"/>
      <c r="L91" s="18" t="n"/>
    </row>
    <row r="92">
      <c r="A92" s="19" t="n"/>
      <c r="B92" s="19" t="n"/>
      <c r="C92" s="19" t="n"/>
      <c r="D92" s="19" t="n"/>
      <c r="E92" s="20" t="n"/>
      <c r="F92" s="21" t="n"/>
      <c r="G92" s="22">
        <f>IFERROR(IF(C92="","",SUMIFS('Cheque Register'!$H$5:$H$304,'Cheque Register'!$D$5:$D$304,C92,'Cheque Register'!$I$5:$I$304,"Pending")),0)</f>
        <v/>
      </c>
      <c r="H92" s="25" t="n"/>
      <c r="I92" s="22">
        <f>IFERROR(IF(F92="","",F92-G92-H92),0)</f>
        <v/>
      </c>
      <c r="J92" s="19" t="n"/>
      <c r="K92" s="20" t="n"/>
      <c r="L92" s="18" t="n"/>
    </row>
    <row r="93">
      <c r="A93" s="19" t="n"/>
      <c r="B93" s="19" t="n"/>
      <c r="C93" s="19" t="n"/>
      <c r="D93" s="19" t="n"/>
      <c r="E93" s="20" t="n"/>
      <c r="F93" s="21" t="n"/>
      <c r="G93" s="22">
        <f>IFERROR(IF(C93="","",SUMIFS('Cheque Register'!$H$5:$H$304,'Cheque Register'!$D$5:$D$304,C93,'Cheque Register'!$I$5:$I$304,"Pending")),0)</f>
        <v/>
      </c>
      <c r="H93" s="25" t="n"/>
      <c r="I93" s="22">
        <f>IFERROR(IF(F93="","",F93-G93-H93),0)</f>
        <v/>
      </c>
      <c r="J93" s="19" t="n"/>
      <c r="K93" s="20" t="n"/>
      <c r="L93" s="18" t="n"/>
    </row>
    <row r="94">
      <c r="A94" s="19" t="n"/>
      <c r="B94" s="19" t="n"/>
      <c r="C94" s="19" t="n"/>
      <c r="D94" s="19" t="n"/>
      <c r="E94" s="20" t="n"/>
      <c r="F94" s="21" t="n"/>
      <c r="G94" s="22">
        <f>IFERROR(IF(C94="","",SUMIFS('Cheque Register'!$H$5:$H$304,'Cheque Register'!$D$5:$D$304,C94,'Cheque Register'!$I$5:$I$304,"Pending")),0)</f>
        <v/>
      </c>
      <c r="H94" s="25" t="n"/>
      <c r="I94" s="22">
        <f>IFERROR(IF(F94="","",F94-G94-H94),0)</f>
        <v/>
      </c>
      <c r="J94" s="19" t="n"/>
      <c r="K94" s="20" t="n"/>
      <c r="L94" s="18" t="n"/>
    </row>
    <row r="95">
      <c r="A95" s="19" t="n"/>
      <c r="B95" s="19" t="n"/>
      <c r="C95" s="19" t="n"/>
      <c r="D95" s="19" t="n"/>
      <c r="E95" s="20" t="n"/>
      <c r="F95" s="21" t="n"/>
      <c r="G95" s="22">
        <f>IFERROR(IF(C95="","",SUMIFS('Cheque Register'!$H$5:$H$304,'Cheque Register'!$D$5:$D$304,C95,'Cheque Register'!$I$5:$I$304,"Pending")),0)</f>
        <v/>
      </c>
      <c r="H95" s="25" t="n"/>
      <c r="I95" s="22">
        <f>IFERROR(IF(F95="","",F95-G95-H95),0)</f>
        <v/>
      </c>
      <c r="J95" s="19" t="n"/>
      <c r="K95" s="20" t="n"/>
      <c r="L95" s="18" t="n"/>
    </row>
    <row r="96">
      <c r="A96" s="19" t="n"/>
      <c r="B96" s="19" t="n"/>
      <c r="C96" s="19" t="n"/>
      <c r="D96" s="19" t="n"/>
      <c r="E96" s="20" t="n"/>
      <c r="F96" s="21" t="n"/>
      <c r="G96" s="22">
        <f>IFERROR(IF(C96="","",SUMIFS('Cheque Register'!$H$5:$H$304,'Cheque Register'!$D$5:$D$304,C96,'Cheque Register'!$I$5:$I$304,"Pending")),0)</f>
        <v/>
      </c>
      <c r="H96" s="25" t="n"/>
      <c r="I96" s="22">
        <f>IFERROR(IF(F96="","",F96-G96-H96),0)</f>
        <v/>
      </c>
      <c r="J96" s="19" t="n"/>
      <c r="K96" s="20" t="n"/>
      <c r="L96" s="18" t="n"/>
    </row>
    <row r="97">
      <c r="A97" s="19" t="n"/>
      <c r="B97" s="19" t="n"/>
      <c r="C97" s="19" t="n"/>
      <c r="D97" s="19" t="n"/>
      <c r="E97" s="20" t="n"/>
      <c r="F97" s="21" t="n"/>
      <c r="G97" s="22">
        <f>IFERROR(IF(C97="","",SUMIFS('Cheque Register'!$H$5:$H$304,'Cheque Register'!$D$5:$D$304,C97,'Cheque Register'!$I$5:$I$304,"Pending")),0)</f>
        <v/>
      </c>
      <c r="H97" s="25" t="n"/>
      <c r="I97" s="22">
        <f>IFERROR(IF(F97="","",F97-G97-H97),0)</f>
        <v/>
      </c>
      <c r="J97" s="19" t="n"/>
      <c r="K97" s="20" t="n"/>
      <c r="L97" s="18" t="n"/>
    </row>
    <row r="98">
      <c r="A98" s="19" t="n"/>
      <c r="B98" s="19" t="n"/>
      <c r="C98" s="19" t="n"/>
      <c r="D98" s="19" t="n"/>
      <c r="E98" s="20" t="n"/>
      <c r="F98" s="21" t="n"/>
      <c r="G98" s="22">
        <f>IFERROR(IF(C98="","",SUMIFS('Cheque Register'!$H$5:$H$304,'Cheque Register'!$D$5:$D$304,C98,'Cheque Register'!$I$5:$I$304,"Pending")),0)</f>
        <v/>
      </c>
      <c r="H98" s="25" t="n"/>
      <c r="I98" s="22">
        <f>IFERROR(IF(F98="","",F98-G98-H98),0)</f>
        <v/>
      </c>
      <c r="J98" s="19" t="n"/>
      <c r="K98" s="20" t="n"/>
      <c r="L98" s="18" t="n"/>
    </row>
    <row r="99">
      <c r="A99" s="19" t="n"/>
      <c r="B99" s="19" t="n"/>
      <c r="C99" s="19" t="n"/>
      <c r="D99" s="19" t="n"/>
      <c r="E99" s="20" t="n"/>
      <c r="F99" s="21" t="n"/>
      <c r="G99" s="22">
        <f>IFERROR(IF(C99="","",SUMIFS('Cheque Register'!$H$5:$H$304,'Cheque Register'!$D$5:$D$304,C99,'Cheque Register'!$I$5:$I$304,"Pending")),0)</f>
        <v/>
      </c>
      <c r="H99" s="25" t="n"/>
      <c r="I99" s="22">
        <f>IFERROR(IF(F99="","",F99-G99-H99),0)</f>
        <v/>
      </c>
      <c r="J99" s="19" t="n"/>
      <c r="K99" s="20" t="n"/>
      <c r="L99" s="18" t="n"/>
    </row>
    <row r="100">
      <c r="A100" s="19" t="n"/>
      <c r="B100" s="19" t="n"/>
      <c r="C100" s="19" t="n"/>
      <c r="D100" s="19" t="n"/>
      <c r="E100" s="20" t="n"/>
      <c r="F100" s="21" t="n"/>
      <c r="G100" s="22">
        <f>IFERROR(IF(C100="","",SUMIFS('Cheque Register'!$H$5:$H$304,'Cheque Register'!$D$5:$D$304,C100,'Cheque Register'!$I$5:$I$304,"Pending")),0)</f>
        <v/>
      </c>
      <c r="H100" s="25" t="n"/>
      <c r="I100" s="22">
        <f>IFERROR(IF(F100="","",F100-G100-H100),0)</f>
        <v/>
      </c>
      <c r="J100" s="19" t="n"/>
      <c r="K100" s="20" t="n"/>
      <c r="L100" s="18" t="n"/>
    </row>
    <row r="101">
      <c r="A101" s="19" t="n"/>
      <c r="B101" s="19" t="n"/>
      <c r="C101" s="19" t="n"/>
      <c r="D101" s="19" t="n"/>
      <c r="E101" s="20" t="n"/>
      <c r="F101" s="21" t="n"/>
      <c r="G101" s="22">
        <f>IFERROR(IF(C101="","",SUMIFS('Cheque Register'!$H$5:$H$304,'Cheque Register'!$D$5:$D$304,C101,'Cheque Register'!$I$5:$I$304,"Pending")),0)</f>
        <v/>
      </c>
      <c r="H101" s="25" t="n"/>
      <c r="I101" s="22">
        <f>IFERROR(IF(F101="","",F101-G101-H101),0)</f>
        <v/>
      </c>
      <c r="J101" s="19" t="n"/>
      <c r="K101" s="20" t="n"/>
      <c r="L101" s="18" t="n"/>
    </row>
    <row r="102">
      <c r="A102" s="19" t="n"/>
      <c r="B102" s="19" t="n"/>
      <c r="C102" s="19" t="n"/>
      <c r="D102" s="19" t="n"/>
      <c r="E102" s="20" t="n"/>
      <c r="F102" s="21" t="n"/>
      <c r="G102" s="22">
        <f>IFERROR(IF(C102="","",SUMIFS('Cheque Register'!$H$5:$H$304,'Cheque Register'!$D$5:$D$304,C102,'Cheque Register'!$I$5:$I$304,"Pending")),0)</f>
        <v/>
      </c>
      <c r="H102" s="25" t="n"/>
      <c r="I102" s="22">
        <f>IFERROR(IF(F102="","",F102-G102-H102),0)</f>
        <v/>
      </c>
      <c r="J102" s="19" t="n"/>
      <c r="K102" s="20" t="n"/>
      <c r="L102" s="18" t="n"/>
    </row>
    <row r="103">
      <c r="A103" s="19" t="n"/>
      <c r="B103" s="19" t="n"/>
      <c r="C103" s="19" t="n"/>
      <c r="D103" s="19" t="n"/>
      <c r="E103" s="20" t="n"/>
      <c r="F103" s="21" t="n"/>
      <c r="G103" s="22">
        <f>IFERROR(IF(C103="","",SUMIFS('Cheque Register'!$H$5:$H$304,'Cheque Register'!$D$5:$D$304,C103,'Cheque Register'!$I$5:$I$304,"Pending")),0)</f>
        <v/>
      </c>
      <c r="H103" s="25" t="n"/>
      <c r="I103" s="22">
        <f>IFERROR(IF(F103="","",F103-G103-H103),0)</f>
        <v/>
      </c>
      <c r="J103" s="19" t="n"/>
      <c r="K103" s="20" t="n"/>
      <c r="L103" s="18" t="n"/>
    </row>
    <row r="104">
      <c r="A104" s="19" t="n"/>
      <c r="B104" s="19" t="n"/>
      <c r="C104" s="19" t="n"/>
      <c r="D104" s="19" t="n"/>
      <c r="E104" s="20" t="n"/>
      <c r="F104" s="21" t="n"/>
      <c r="G104" s="22">
        <f>IFERROR(IF(C104="","",SUMIFS('Cheque Register'!$H$5:$H$304,'Cheque Register'!$D$5:$D$304,C104,'Cheque Register'!$I$5:$I$304,"Pending")),0)</f>
        <v/>
      </c>
      <c r="H104" s="25" t="n"/>
      <c r="I104" s="22">
        <f>IFERROR(IF(F104="","",F104-G104-H104),0)</f>
        <v/>
      </c>
      <c r="J104" s="19" t="n"/>
      <c r="K104" s="20" t="n"/>
      <c r="L104" s="18" t="n"/>
    </row>
  </sheetData>
  <mergeCells count="2">
    <mergeCell ref="A2:L2"/>
    <mergeCell ref="A1:L1"/>
  </mergeCells>
  <conditionalFormatting sqref="I5:I104">
    <cfRule type="cellIs" priority="1" operator="lessThan" dxfId="3">
      <formula>0</formula>
    </cfRule>
  </conditionalFormatting>
  <dataValidations count="2">
    <dataValidation sqref="B5:B104" showDropDown="0" showInputMessage="0" showErrorMessage="0" allowBlank="1" errorTitle="Invalid value" error="Select a value from the list." promptTitle="Controlled input" prompt="Choose from the approved setup list." type="list">
      <formula1>='Setup &amp; Lists'!$A$5:$A$20</formula1>
    </dataValidation>
    <dataValidation sqref="D5:D104" showDropDown="0" showInputMessage="0" showErrorMessage="0" allowBlank="1" errorTitle="Invalid value" error="Select a value from the list." promptTitle="Controlled input" prompt="Choose from the approved setup list." type="list">
      <formula1>='Setup &amp; Lists'!$I$5:$I$10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20" customWidth="1" min="3" max="3"/>
    <col width="22" customWidth="1" min="4" max="4"/>
    <col width="18" customWidth="1" min="5" max="5"/>
    <col width="16" customWidth="1" min="6" max="6"/>
    <col width="12" customWidth="1" min="7" max="7"/>
    <col width="18" customWidth="1" min="8" max="8"/>
    <col width="18" customWidth="1" min="9" max="9"/>
    <col width="20" customWidth="1" min="10" max="10"/>
    <col width="26" customWidth="1" min="12" max="12"/>
    <col width="22" customWidth="1" min="13" max="13"/>
  </cols>
  <sheetData>
    <row r="1" ht="30" customHeight="1">
      <c r="A1" s="1" t="inlineStr">
        <is>
          <t>Setup &amp; Lists</t>
        </is>
      </c>
    </row>
    <row r="2" ht="24" customHeight="1">
      <c r="A2" s="2" t="inlineStr">
        <is>
          <t>قوائم التحكم المركزية — عدّل القيم هنا لتظهر في جميع الصفحات</t>
        </is>
      </c>
    </row>
    <row r="4">
      <c r="A4" s="28" t="inlineStr">
        <is>
          <t>Branches</t>
        </is>
      </c>
      <c r="B4" s="28" t="inlineStr">
        <is>
          <t>Categories</t>
        </is>
      </c>
      <c r="C4" s="28" t="inlineStr">
        <is>
          <t>Payment Methods</t>
        </is>
      </c>
      <c r="D4" s="28" t="inlineStr">
        <is>
          <t>Commitment Status</t>
        </is>
      </c>
      <c r="E4" s="28" t="inlineStr">
        <is>
          <t>Cheque Status</t>
        </is>
      </c>
      <c r="F4" s="28" t="inlineStr">
        <is>
          <t>Priority</t>
        </is>
      </c>
      <c r="G4" s="28" t="inlineStr">
        <is>
          <t>Yes No</t>
        </is>
      </c>
      <c r="H4" s="28" t="inlineStr">
        <is>
          <t>Source Types</t>
        </is>
      </c>
      <c r="I4" s="28" t="inlineStr">
        <is>
          <t>Account Types</t>
        </is>
      </c>
      <c r="J4" s="28" t="inlineStr">
        <is>
          <t>AP Status</t>
        </is>
      </c>
      <c r="L4" s="29" t="inlineStr">
        <is>
          <t>Model Controls</t>
        </is>
      </c>
    </row>
    <row r="5">
      <c r="A5" s="30" t="inlineStr">
        <is>
          <t>MBZ</t>
        </is>
      </c>
      <c r="B5" s="30" t="inlineStr">
        <is>
          <t>Rent</t>
        </is>
      </c>
      <c r="C5" s="30" t="inlineStr">
        <is>
          <t>Cash</t>
        </is>
      </c>
      <c r="D5" s="30" t="inlineStr">
        <is>
          <t>Draft</t>
        </is>
      </c>
      <c r="E5" s="30" t="inlineStr">
        <is>
          <t>Pending</t>
        </is>
      </c>
      <c r="F5" s="30" t="inlineStr">
        <is>
          <t>Critical</t>
        </is>
      </c>
      <c r="G5" s="30" t="inlineStr">
        <is>
          <t>Yes</t>
        </is>
      </c>
      <c r="H5" s="30" t="inlineStr">
        <is>
          <t>AP</t>
        </is>
      </c>
      <c r="I5" s="30" t="inlineStr">
        <is>
          <t>Bank</t>
        </is>
      </c>
      <c r="J5" s="30" t="inlineStr">
        <is>
          <t>Open</t>
        </is>
      </c>
      <c r="L5" s="3" t="inlineStr">
        <is>
          <t>Forecast Months</t>
        </is>
      </c>
      <c r="M5" s="31" t="n">
        <v>12</v>
      </c>
    </row>
    <row r="6">
      <c r="A6" s="30" t="inlineStr">
        <is>
          <t>Mussafah</t>
        </is>
      </c>
      <c r="B6" s="30" t="inlineStr">
        <is>
          <t>Salaries</t>
        </is>
      </c>
      <c r="C6" s="30" t="inlineStr">
        <is>
          <t>Credit Card</t>
        </is>
      </c>
      <c r="D6" s="30" t="inlineStr">
        <is>
          <t>Pending</t>
        </is>
      </c>
      <c r="E6" s="30" t="inlineStr">
        <is>
          <t>Cleared</t>
        </is>
      </c>
      <c r="F6" s="30" t="inlineStr">
        <is>
          <t>High</t>
        </is>
      </c>
      <c r="G6" s="30" t="inlineStr">
        <is>
          <t>No</t>
        </is>
      </c>
      <c r="H6" s="30" t="inlineStr">
        <is>
          <t>Cheque</t>
        </is>
      </c>
      <c r="I6" s="30" t="inlineStr">
        <is>
          <t>Cash</t>
        </is>
      </c>
      <c r="J6" s="30" t="inlineStr">
        <is>
          <t>Partially Paid</t>
        </is>
      </c>
      <c r="L6" s="3" t="inlineStr">
        <is>
          <t>Minimum Liquidity Buffer</t>
        </is>
      </c>
      <c r="M6" s="32" t="n">
        <v>10000</v>
      </c>
    </row>
    <row r="7">
      <c r="A7" s="30" t="inlineStr">
        <is>
          <t>Al Falah</t>
        </is>
      </c>
      <c r="B7" s="30" t="inlineStr">
        <is>
          <t>Laundry Supplies</t>
        </is>
      </c>
      <c r="C7" s="30" t="inlineStr">
        <is>
          <t>Bank Transfer</t>
        </is>
      </c>
      <c r="D7" s="30" t="inlineStr">
        <is>
          <t>Partially Paid</t>
        </is>
      </c>
      <c r="E7" s="30" t="inlineStr">
        <is>
          <t>Returned</t>
        </is>
      </c>
      <c r="F7" s="30" t="inlineStr">
        <is>
          <t>Normal</t>
        </is>
      </c>
      <c r="H7" s="30" t="inlineStr">
        <is>
          <t>Fixed</t>
        </is>
      </c>
      <c r="I7" s="30" t="inlineStr">
        <is>
          <t>Card Clearing</t>
        </is>
      </c>
      <c r="J7" s="30" t="inlineStr">
        <is>
          <t>Paid</t>
        </is>
      </c>
      <c r="L7" s="3" t="inlineStr">
        <is>
          <t>Alert Days</t>
        </is>
      </c>
      <c r="M7" s="31" t="n">
        <v>7</v>
      </c>
    </row>
    <row r="8">
      <c r="B8" s="30" t="inlineStr">
        <is>
          <t>Utilities</t>
        </is>
      </c>
      <c r="C8" s="30" t="inlineStr">
        <is>
          <t>Cheque</t>
        </is>
      </c>
      <c r="D8" s="30" t="inlineStr">
        <is>
          <t>Paid</t>
        </is>
      </c>
      <c r="E8" s="30" t="inlineStr">
        <is>
          <t>Cancelled</t>
        </is>
      </c>
      <c r="F8" s="30" t="inlineStr">
        <is>
          <t>Low</t>
        </is>
      </c>
      <c r="H8" s="30" t="inlineStr">
        <is>
          <t>Manual</t>
        </is>
      </c>
      <c r="J8" s="30" t="inlineStr">
        <is>
          <t>Disputed</t>
        </is>
      </c>
      <c r="L8" s="3" t="inlineStr">
        <is>
          <t>Currency</t>
        </is>
      </c>
      <c r="M8" s="31" t="inlineStr">
        <is>
          <t>AED</t>
        </is>
      </c>
    </row>
    <row r="9">
      <c r="B9" s="30" t="inlineStr">
        <is>
          <t>Vehicle Expenses</t>
        </is>
      </c>
      <c r="C9" s="30" t="inlineStr">
        <is>
          <t>Credit</t>
        </is>
      </c>
      <c r="D9" s="30" t="inlineStr">
        <is>
          <t>On Hold</t>
        </is>
      </c>
      <c r="H9" s="30" t="inlineStr">
        <is>
          <t>POS</t>
        </is>
      </c>
      <c r="J9" s="30" t="inlineStr">
        <is>
          <t>Cancelled</t>
        </is>
      </c>
      <c r="L9" s="3" t="inlineStr">
        <is>
          <t>Last POS Sync</t>
        </is>
      </c>
      <c r="M9" s="31" t="inlineStr">
        <is>
          <t>Manual / n8n</t>
        </is>
      </c>
    </row>
    <row r="10">
      <c r="B10" s="30" t="inlineStr">
        <is>
          <t>Maintenance</t>
        </is>
      </c>
      <c r="D10" s="30" t="inlineStr">
        <is>
          <t>Cancelled</t>
        </is>
      </c>
      <c r="H10" s="30" t="inlineStr">
        <is>
          <t>Payroll</t>
        </is>
      </c>
    </row>
    <row r="11">
      <c r="B11" s="30" t="inlineStr">
        <is>
          <t>Government Fees</t>
        </is>
      </c>
    </row>
    <row r="12">
      <c r="B12" s="30" t="inlineStr">
        <is>
          <t>Marketing</t>
        </is>
      </c>
    </row>
    <row r="13">
      <c r="B13" s="30" t="inlineStr">
        <is>
          <t>Other</t>
        </is>
      </c>
    </row>
  </sheetData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2026-06-19T21:01:20Z</dcterms:created>
  <dcterms:modified xmlns:dcterms="http://purl.org/dc/terms/" xmlns:xsi="http://www.w3.org/2001/XMLSchema-instance" xsi:type="dcterms:W3CDTF">2026-06-19T21:01:24Z</dcterms:modified>
</cp:coreProperties>
</file>